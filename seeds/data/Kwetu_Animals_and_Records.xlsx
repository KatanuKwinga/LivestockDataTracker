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vmlDrawing2.vml" ContentType="application/vnd.openxmlformats-officedocument.vmlDrawing"/>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nimals" sheetId="2" state="visible" r:id="rId4"/>
    <sheet name="Births" sheetId="3" state="visible" r:id="rId5"/>
    <sheet name="Deaths" sheetId="4" state="visible" r:id="rId6"/>
    <sheet name="Sales &amp; exits" sheetId="5" state="visible" r:id="rId7"/>
    <sheet name="Health records" sheetId="6" state="visible" r:id="rId8"/>
    <sheet name="Group treatments" sheetId="7" state="visible" r:id="rId9"/>
    <sheet name="Weights" sheetId="8" state="visible" r:id="rId10"/>
    <sheet name="Pharmacy" sheetId="9" state="visible" r:id="rId11"/>
    <sheet name="Head-count check" sheetId="10" state="visible" r:id="rId12"/>
    <sheet name="Notebook 2020-21" sheetId="11" state="visible" r:id="rId13"/>
    <sheet name="Problems found" sheetId="12" state="visible" r:id="rId14"/>
  </sheets>
  <definedNames>
    <definedName function="false" hidden="true" localSheetId="1" name="_xlnm._FilterDatabase" vbProcedure="false">Animals!$A$1:$N$575</definedName>
    <definedName function="false" hidden="true" localSheetId="2" name="_xlnm._FilterDatabase" vbProcedure="false">Births!$A$1:$G$151</definedName>
    <definedName function="false" hidden="true" localSheetId="3" name="_xlnm._FilterDatabase" vbProcedure="false">Deaths!$A$1:$H$110</definedName>
    <definedName function="false" hidden="true" localSheetId="6" name="_xlnm._FilterDatabase" vbProcedure="false">'Group treatments'!$A$1:$H$25</definedName>
    <definedName function="false" hidden="true" localSheetId="9" name="_xlnm._FilterDatabase" vbProcedure="false">'Head-count check'!$A$1:$E$56</definedName>
    <definedName function="false" hidden="true" localSheetId="5" name="_xlnm._FilterDatabase" vbProcedure="false">'Health records'!$A$1:$J$118</definedName>
    <definedName function="false" hidden="true" localSheetId="10" name="_xlnm._FilterDatabase" vbProcedure="false">'Notebook 2020-21'!$A$1:$F$11</definedName>
    <definedName function="false" hidden="true" localSheetId="8" name="_xlnm._FilterDatabase" vbProcedure="false">Pharmacy!$A$1:$E$21</definedName>
    <definedName function="false" hidden="true" localSheetId="11" name="_xlnm._FilterDatabase" vbProcedure="false">'Problems found'!$A$1:$D$27</definedName>
    <definedName function="false" hidden="true" localSheetId="4" name="_xlnm._FilterDatabase" vbProcedure="false">'Sales &amp; exits'!$A$1:$K$124</definedName>
    <definedName function="false" hidden="true" localSheetId="7" name="_xlnm._FilterDatabase" vbProcedure="false">Weights!$A$1:$F$21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Worked out from the date of birth, so it is an estimate whenever the birth date is orange.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ILLNESS = the first visit for a sickness. TREATMENT = a repeat visit or an injury. CHECKUP = looked at, no medicine. The prediction model counts ILLNESS rows.</t>
        </r>
      </text>
    </comment>
  </commentList>
</comments>
</file>

<file path=xl/sharedStrings.xml><?xml version="1.0" encoding="utf-8"?>
<sst xmlns="http://schemas.openxmlformats.org/spreadsheetml/2006/main" count="8870" uniqueCount="1731">
  <si>
    <t xml:space="preserve">Kwetu Farm: animals and their records</t>
  </si>
  <si>
    <t xml:space="preserve">Rebuilt from the farm's own records, one row per animal. Records cover cattle from 1/1/2025 and goats and sheep from 31/5/2025, up to September 2026.</t>
  </si>
  <si>
    <t xml:space="preserve">How to read the colours</t>
  </si>
  <si>
    <t xml:space="preserve">Blue cells</t>
  </si>
  <si>
    <t xml:space="preserve">Straight from the farm's records</t>
  </si>
  <si>
    <t xml:space="preserve">Orange cells</t>
  </si>
  <si>
    <t xml:space="preserve">Filled in by us (an estimate or a choice); check or replace when you know better</t>
  </si>
  <si>
    <t xml:space="preserve">What is real and what was filled in</t>
  </si>
  <si>
    <t xml:space="preserve">Real: every birth, death, sale, transfer and treatment, with its date, sex and group, comes from the records. So do the farm's tag numbers (e.g. C004, G118) and the prices and weights where they were written down.</t>
  </si>
  <si>
    <t xml:space="preserve">Filled in: the records count animals rather than naming them. When the book says '1 She cow died', we chose which cow. Unless the animal has a farm number, the choice of animal is ours.</t>
  </si>
  <si>
    <t xml:space="preserve">Filled in: birth dates of animals already on the farm when the records start, breeds, mothers, and prices that weren't written down. Each of these is shaded orange.</t>
  </si>
  <si>
    <t xml:space="preserve">Tag numbers: C, G and S plus the farm's own number where the records give one (C004 = cow No 004). Numbers from 201 upwards (C201, G201...) were given by us to animals the records never number.</t>
  </si>
  <si>
    <t xml:space="preserve">Sources (all on Google Drive)</t>
  </si>
  <si>
    <t xml:space="preserve">Kwetu Livestock Tracker.xlsx: the daily head counts and notes (2025 - 2026 Cow, Goat and Sheep Tracker sheets); 2025 Cow Sales Weight sheet.</t>
  </si>
  <si>
    <t xml:space="preserve">Kwetu_Livestock_Medicine_Log: the medicine cards, which name the tag numbers of treated animals.</t>
  </si>
  <si>
    <t xml:space="preserve">Kwetu_Daily_Activity_Tracker: Livestock Status notes, Inputs Applied and Sales, July - September 2026.</t>
  </si>
  <si>
    <t xml:space="preserve">Photos Data1 - Data9 and the WhatsApp image (head-count books, 2020 - 2021): read on the 'Notebook 2020-21' tab.</t>
  </si>
  <si>
    <t xml:space="preserve">Herd on 30/09/2026 (worked out from the Animals tab)</t>
  </si>
  <si>
    <t xml:space="preserve">Species</t>
  </si>
  <si>
    <t xml:space="preserve">Male</t>
  </si>
  <si>
    <t xml:space="preserve">Female</t>
  </si>
  <si>
    <t xml:space="preserve">Total</t>
  </si>
  <si>
    <t xml:space="preserve">Cattle</t>
  </si>
  <si>
    <t xml:space="preserve">Goat</t>
  </si>
  <si>
    <t xml:space="preserve">Sheep</t>
  </si>
  <si>
    <t xml:space="preserve">Tracker on its last day: cattle 108 (14/9/2026), goats 91 (31/8/2026), sheep 143 (17/9/2026). The 'Head-count check' tab compares every month.</t>
  </si>
  <si>
    <t xml:space="preserve">Tag</t>
  </si>
  <si>
    <t xml:space="preserve">Sex</t>
  </si>
  <si>
    <t xml:space="preserve">Breed</t>
  </si>
  <si>
    <t xml:space="preserve">Date of birth</t>
  </si>
  <si>
    <t xml:space="preserve">Age (years) on 30/9/2026 or when it left</t>
  </si>
  <si>
    <t xml:space="preserve">Name</t>
  </si>
  <si>
    <t xml:space="preserve">Joined the records</t>
  </si>
  <si>
    <t xml:space="preserve">How it joined</t>
  </si>
  <si>
    <t xml:space="preserve">Status</t>
  </si>
  <si>
    <t xml:space="preserve">Left on</t>
  </si>
  <si>
    <t xml:space="preserve">Mother (tag)</t>
  </si>
  <si>
    <t xml:space="preserve">Farm's own number?</t>
  </si>
  <si>
    <t xml:space="preserve">Notes</t>
  </si>
  <si>
    <t xml:space="preserve">C002</t>
  </si>
  <si>
    <t xml:space="preserve">Boran</t>
  </si>
  <si>
    <t xml:space="preserve">On the farm when the records start (01/01/2025)</t>
  </si>
  <si>
    <t xml:space="preserve">Died</t>
  </si>
  <si>
    <t xml:space="preserve">Yes</t>
  </si>
  <si>
    <t xml:space="preserve">C004</t>
  </si>
  <si>
    <t xml:space="preserve">Boran x Sahiwal</t>
  </si>
  <si>
    <t xml:space="preserve">C012</t>
  </si>
  <si>
    <t xml:space="preserve">On farm</t>
  </si>
  <si>
    <t xml:space="preserve">C017</t>
  </si>
  <si>
    <t xml:space="preserve">Born on the farm</t>
  </si>
  <si>
    <t xml:space="preserve">C261</t>
  </si>
  <si>
    <t xml:space="preserve">C025</t>
  </si>
  <si>
    <t xml:space="preserve">C045</t>
  </si>
  <si>
    <t xml:space="preserve">Sahiwal</t>
  </si>
  <si>
    <t xml:space="preserve">C055</t>
  </si>
  <si>
    <t xml:space="preserve">Sold</t>
  </si>
  <si>
    <t xml:space="preserve">C072</t>
  </si>
  <si>
    <t xml:space="preserve">C103</t>
  </si>
  <si>
    <t xml:space="preserve">Sex corrected in the count on 13/02/2026</t>
  </si>
  <si>
    <t xml:space="preserve">C105</t>
  </si>
  <si>
    <t xml:space="preserve">C283</t>
  </si>
  <si>
    <t xml:space="preserve">C106</t>
  </si>
  <si>
    <t xml:space="preserve">C108</t>
  </si>
  <si>
    <t xml:space="preserve">C111</t>
  </si>
  <si>
    <t xml:space="preserve">C116</t>
  </si>
  <si>
    <t xml:space="preserve">C276</t>
  </si>
  <si>
    <t xml:space="preserve">C121</t>
  </si>
  <si>
    <t xml:space="preserve">C136</t>
  </si>
  <si>
    <t xml:space="preserve">C265</t>
  </si>
  <si>
    <t xml:space="preserve">C201</t>
  </si>
  <si>
    <t xml:space="preserve">No</t>
  </si>
  <si>
    <t xml:space="preserve">C202</t>
  </si>
  <si>
    <t xml:space="preserve">C203</t>
  </si>
  <si>
    <t xml:space="preserve">C204</t>
  </si>
  <si>
    <t xml:space="preserve">C205</t>
  </si>
  <si>
    <t xml:space="preserve">C206</t>
  </si>
  <si>
    <t xml:space="preserve">C207</t>
  </si>
  <si>
    <t xml:space="preserve">C208</t>
  </si>
  <si>
    <t xml:space="preserve">C209</t>
  </si>
  <si>
    <t xml:space="preserve">C210</t>
  </si>
  <si>
    <t xml:space="preserve">C211</t>
  </si>
  <si>
    <t xml:space="preserve">Given away / eaten</t>
  </si>
  <si>
    <t xml:space="preserve">C212</t>
  </si>
  <si>
    <t xml:space="preserve">C213</t>
  </si>
  <si>
    <t xml:space="preserve">C214</t>
  </si>
  <si>
    <t xml:space="preserve">C215</t>
  </si>
  <si>
    <t xml:space="preserve">C216</t>
  </si>
  <si>
    <t xml:space="preserve">C217</t>
  </si>
  <si>
    <t xml:space="preserve">C218</t>
  </si>
  <si>
    <t xml:space="preserve">C219</t>
  </si>
  <si>
    <t xml:space="preserve">C220</t>
  </si>
  <si>
    <t xml:space="preserve">C221</t>
  </si>
  <si>
    <t xml:space="preserve">C222</t>
  </si>
  <si>
    <t xml:space="preserve">C223</t>
  </si>
  <si>
    <t xml:space="preserve">C224</t>
  </si>
  <si>
    <t xml:space="preserve">C225</t>
  </si>
  <si>
    <t xml:space="preserve">C226</t>
  </si>
  <si>
    <t xml:space="preserve">C227</t>
  </si>
  <si>
    <t xml:space="preserve">C228</t>
  </si>
  <si>
    <t xml:space="preserve">C229</t>
  </si>
  <si>
    <t xml:space="preserve">C230</t>
  </si>
  <si>
    <t xml:space="preserve">C231</t>
  </si>
  <si>
    <t xml:space="preserve">C232</t>
  </si>
  <si>
    <t xml:space="preserve">C233</t>
  </si>
  <si>
    <t xml:space="preserve">C234</t>
  </si>
  <si>
    <t xml:space="preserve">C235</t>
  </si>
  <si>
    <t xml:space="preserve">C236</t>
  </si>
  <si>
    <t xml:space="preserve">C237</t>
  </si>
  <si>
    <t xml:space="preserve">C238</t>
  </si>
  <si>
    <t xml:space="preserve">C239</t>
  </si>
  <si>
    <t xml:space="preserve">C240</t>
  </si>
  <si>
    <t xml:space="preserve">C241</t>
  </si>
  <si>
    <t xml:space="preserve">C242</t>
  </si>
  <si>
    <t xml:space="preserve">C243</t>
  </si>
  <si>
    <t xml:space="preserve">C244</t>
  </si>
  <si>
    <t xml:space="preserve">C245</t>
  </si>
  <si>
    <t xml:space="preserve">C246</t>
  </si>
  <si>
    <t xml:space="preserve">C247</t>
  </si>
  <si>
    <t xml:space="preserve">C248</t>
  </si>
  <si>
    <t xml:space="preserve">C249</t>
  </si>
  <si>
    <t xml:space="preserve">C250</t>
  </si>
  <si>
    <t xml:space="preserve">C251</t>
  </si>
  <si>
    <t xml:space="preserve">C252</t>
  </si>
  <si>
    <t xml:space="preserve">C253</t>
  </si>
  <si>
    <t xml:space="preserve">C254</t>
  </si>
  <si>
    <t xml:space="preserve">C255</t>
  </si>
  <si>
    <t xml:space="preserve">C256</t>
  </si>
  <si>
    <t xml:space="preserve">C257</t>
  </si>
  <si>
    <t xml:space="preserve">C258</t>
  </si>
  <si>
    <t xml:space="preserve">C259</t>
  </si>
  <si>
    <t xml:space="preserve">C260</t>
  </si>
  <si>
    <t xml:space="preserve">C262</t>
  </si>
  <si>
    <t xml:space="preserve">C263</t>
  </si>
  <si>
    <t xml:space="preserve">C264</t>
  </si>
  <si>
    <t xml:space="preserve">C266</t>
  </si>
  <si>
    <t xml:space="preserve">C267</t>
  </si>
  <si>
    <t xml:space="preserve">C268</t>
  </si>
  <si>
    <t xml:space="preserve">C269</t>
  </si>
  <si>
    <t xml:space="preserve">C270</t>
  </si>
  <si>
    <t xml:space="preserve">C271</t>
  </si>
  <si>
    <t xml:space="preserve">C272</t>
  </si>
  <si>
    <t xml:space="preserve">C273</t>
  </si>
  <si>
    <t xml:space="preserve">C274</t>
  </si>
  <si>
    <t xml:space="preserve">C275</t>
  </si>
  <si>
    <t xml:space="preserve">C277</t>
  </si>
  <si>
    <t xml:space="preserve">C278</t>
  </si>
  <si>
    <t xml:space="preserve">C279</t>
  </si>
  <si>
    <t xml:space="preserve">C280</t>
  </si>
  <si>
    <t xml:space="preserve">C281</t>
  </si>
  <si>
    <t xml:space="preserve">C282</t>
  </si>
  <si>
    <t xml:space="preserve">C284</t>
  </si>
  <si>
    <t xml:space="preserve">C285</t>
  </si>
  <si>
    <t xml:space="preserve">C286</t>
  </si>
  <si>
    <t xml:space="preserve">C287</t>
  </si>
  <si>
    <t xml:space="preserve">C288</t>
  </si>
  <si>
    <t xml:space="preserve">C289</t>
  </si>
  <si>
    <t xml:space="preserve">C290</t>
  </si>
  <si>
    <t xml:space="preserve">C291</t>
  </si>
  <si>
    <t xml:space="preserve">C292</t>
  </si>
  <si>
    <t xml:space="preserve">C293</t>
  </si>
  <si>
    <t xml:space="preserve">C294</t>
  </si>
  <si>
    <t xml:space="preserve">C295</t>
  </si>
  <si>
    <t xml:space="preserve">C296</t>
  </si>
  <si>
    <t xml:space="preserve">Missing (count correction)</t>
  </si>
  <si>
    <t xml:space="preserve">C297</t>
  </si>
  <si>
    <t xml:space="preserve">C298</t>
  </si>
  <si>
    <t xml:space="preserve">C299</t>
  </si>
  <si>
    <t xml:space="preserve">C300</t>
  </si>
  <si>
    <t xml:space="preserve">C301</t>
  </si>
  <si>
    <t xml:space="preserve">C302</t>
  </si>
  <si>
    <t xml:space="preserve">C303</t>
  </si>
  <si>
    <t xml:space="preserve">C304</t>
  </si>
  <si>
    <t xml:space="preserve">C305</t>
  </si>
  <si>
    <t xml:space="preserve">C306</t>
  </si>
  <si>
    <t xml:space="preserve">C307</t>
  </si>
  <si>
    <t xml:space="preserve">C308</t>
  </si>
  <si>
    <t xml:space="preserve">C309</t>
  </si>
  <si>
    <t xml:space="preserve">C310</t>
  </si>
  <si>
    <t xml:space="preserve">C311</t>
  </si>
  <si>
    <t xml:space="preserve">C312</t>
  </si>
  <si>
    <t xml:space="preserve">C313</t>
  </si>
  <si>
    <t xml:space="preserve">C314</t>
  </si>
  <si>
    <t xml:space="preserve">C315</t>
  </si>
  <si>
    <t xml:space="preserve">C316</t>
  </si>
  <si>
    <t xml:space="preserve">C317</t>
  </si>
  <si>
    <t xml:space="preserve">Sex corrected in the count on 31/05/2025</t>
  </si>
  <si>
    <t xml:space="preserve">C318</t>
  </si>
  <si>
    <t xml:space="preserve">C319</t>
  </si>
  <si>
    <t xml:space="preserve">C320</t>
  </si>
  <si>
    <t xml:space="preserve">C321</t>
  </si>
  <si>
    <t xml:space="preserve">C322</t>
  </si>
  <si>
    <t xml:space="preserve">C323</t>
  </si>
  <si>
    <t xml:space="preserve">C324</t>
  </si>
  <si>
    <t xml:space="preserve">C325</t>
  </si>
  <si>
    <t xml:space="preserve">C326</t>
  </si>
  <si>
    <t xml:space="preserve">C327</t>
  </si>
  <si>
    <t xml:space="preserve">C328</t>
  </si>
  <si>
    <t xml:space="preserve">Sex corrected in the count on 26/05/2026</t>
  </si>
  <si>
    <t xml:space="preserve">C329</t>
  </si>
  <si>
    <t xml:space="preserve">C330</t>
  </si>
  <si>
    <t xml:space="preserve">C331</t>
  </si>
  <si>
    <t xml:space="preserve">Appeared in the count (correction)</t>
  </si>
  <si>
    <t xml:space="preserve">C332</t>
  </si>
  <si>
    <t xml:space="preserve">C333</t>
  </si>
  <si>
    <t xml:space="preserve">C334</t>
  </si>
  <si>
    <t xml:space="preserve">C335</t>
  </si>
  <si>
    <t xml:space="preserve">C336</t>
  </si>
  <si>
    <t xml:space="preserve">C337</t>
  </si>
  <si>
    <t xml:space="preserve">C338</t>
  </si>
  <si>
    <t xml:space="preserve">C339</t>
  </si>
  <si>
    <t xml:space="preserve">C340</t>
  </si>
  <si>
    <t xml:space="preserve">C341</t>
  </si>
  <si>
    <t xml:space="preserve">C342</t>
  </si>
  <si>
    <t xml:space="preserve">C343</t>
  </si>
  <si>
    <t xml:space="preserve">C344</t>
  </si>
  <si>
    <t xml:space="preserve">C345</t>
  </si>
  <si>
    <t xml:space="preserve">C346</t>
  </si>
  <si>
    <t xml:space="preserve">C347</t>
  </si>
  <si>
    <t xml:space="preserve">C348</t>
  </si>
  <si>
    <t xml:space="preserve">C349</t>
  </si>
  <si>
    <t xml:space="preserve">C350</t>
  </si>
  <si>
    <t xml:space="preserve">C351</t>
  </si>
  <si>
    <t xml:space="preserve">C352</t>
  </si>
  <si>
    <t xml:space="preserve">C353</t>
  </si>
  <si>
    <t xml:space="preserve">C354</t>
  </si>
  <si>
    <t xml:space="preserve">Brought in (bull for breed exchange)</t>
  </si>
  <si>
    <t xml:space="preserve">C355</t>
  </si>
  <si>
    <t xml:space="preserve">C356</t>
  </si>
  <si>
    <t xml:space="preserve">C357</t>
  </si>
  <si>
    <t xml:space="preserve">C358</t>
  </si>
  <si>
    <t xml:space="preserve">C359</t>
  </si>
  <si>
    <t xml:space="preserve">C360</t>
  </si>
  <si>
    <t xml:space="preserve">C361</t>
  </si>
  <si>
    <t xml:space="preserve">C362</t>
  </si>
  <si>
    <t xml:space="preserve">C363</t>
  </si>
  <si>
    <t xml:space="preserve">C364</t>
  </si>
  <si>
    <t xml:space="preserve">Brought in (new bull)</t>
  </si>
  <si>
    <t xml:space="preserve">C365</t>
  </si>
  <si>
    <t xml:space="preserve">C366</t>
  </si>
  <si>
    <t xml:space="preserve">G008</t>
  </si>
  <si>
    <t xml:space="preserve">Galla x SEA</t>
  </si>
  <si>
    <t xml:space="preserve">On the farm when the records start (31/05/2025)</t>
  </si>
  <si>
    <t xml:space="preserve">G020</t>
  </si>
  <si>
    <t xml:space="preserve">G022</t>
  </si>
  <si>
    <t xml:space="preserve">G118</t>
  </si>
  <si>
    <t xml:space="preserve">Galla</t>
  </si>
  <si>
    <t xml:space="preserve">G201</t>
  </si>
  <si>
    <t xml:space="preserve">G202</t>
  </si>
  <si>
    <t xml:space="preserve">G203</t>
  </si>
  <si>
    <t xml:space="preserve">G204</t>
  </si>
  <si>
    <t xml:space="preserve">G205</t>
  </si>
  <si>
    <t xml:space="preserve">G206</t>
  </si>
  <si>
    <t xml:space="preserve">G207</t>
  </si>
  <si>
    <t xml:space="preserve">G208</t>
  </si>
  <si>
    <t xml:space="preserve">G209</t>
  </si>
  <si>
    <t xml:space="preserve">Small East African</t>
  </si>
  <si>
    <t xml:space="preserve">G210</t>
  </si>
  <si>
    <t xml:space="preserve">G211</t>
  </si>
  <si>
    <t xml:space="preserve">G212</t>
  </si>
  <si>
    <t xml:space="preserve">G213</t>
  </si>
  <si>
    <t xml:space="preserve">G214</t>
  </si>
  <si>
    <t xml:space="preserve">G215</t>
  </si>
  <si>
    <t xml:space="preserve">G216</t>
  </si>
  <si>
    <t xml:space="preserve">G217</t>
  </si>
  <si>
    <t xml:space="preserve">G218</t>
  </si>
  <si>
    <t xml:space="preserve">G219</t>
  </si>
  <si>
    <t xml:space="preserve">G220</t>
  </si>
  <si>
    <t xml:space="preserve">Sex corrected in the count on 11/02/2026</t>
  </si>
  <si>
    <t xml:space="preserve">G221</t>
  </si>
  <si>
    <t xml:space="preserve">G222</t>
  </si>
  <si>
    <t xml:space="preserve">G223</t>
  </si>
  <si>
    <t xml:space="preserve">G224</t>
  </si>
  <si>
    <t xml:space="preserve">G225</t>
  </si>
  <si>
    <t xml:space="preserve">G226</t>
  </si>
  <si>
    <t xml:space="preserve">G227</t>
  </si>
  <si>
    <t xml:space="preserve">G228</t>
  </si>
  <si>
    <t xml:space="preserve">G229</t>
  </si>
  <si>
    <t xml:space="preserve">G230</t>
  </si>
  <si>
    <t xml:space="preserve">G231</t>
  </si>
  <si>
    <t xml:space="preserve">G232</t>
  </si>
  <si>
    <t xml:space="preserve">G233</t>
  </si>
  <si>
    <t xml:space="preserve">G234</t>
  </si>
  <si>
    <t xml:space="preserve">G235</t>
  </si>
  <si>
    <t xml:space="preserve">G236</t>
  </si>
  <si>
    <t xml:space="preserve">G237</t>
  </si>
  <si>
    <t xml:space="preserve">G238</t>
  </si>
  <si>
    <t xml:space="preserve">G239</t>
  </si>
  <si>
    <t xml:space="preserve">G240</t>
  </si>
  <si>
    <t xml:space="preserve">G241</t>
  </si>
  <si>
    <t xml:space="preserve">G242</t>
  </si>
  <si>
    <t xml:space="preserve">Lost</t>
  </si>
  <si>
    <t xml:space="preserve">G243</t>
  </si>
  <si>
    <t xml:space="preserve">G244</t>
  </si>
  <si>
    <t xml:space="preserve">G245</t>
  </si>
  <si>
    <t xml:space="preserve">G246</t>
  </si>
  <si>
    <t xml:space="preserve">G247</t>
  </si>
  <si>
    <t xml:space="preserve">G248</t>
  </si>
  <si>
    <t xml:space="preserve">G249</t>
  </si>
  <si>
    <t xml:space="preserve">G250</t>
  </si>
  <si>
    <t xml:space="preserve">G251</t>
  </si>
  <si>
    <t xml:space="preserve">G252</t>
  </si>
  <si>
    <t xml:space="preserve">G253</t>
  </si>
  <si>
    <t xml:space="preserve">G254</t>
  </si>
  <si>
    <t xml:space="preserve">G255</t>
  </si>
  <si>
    <t xml:space="preserve">G256</t>
  </si>
  <si>
    <t xml:space="preserve">G257</t>
  </si>
  <si>
    <t xml:space="preserve">G258</t>
  </si>
  <si>
    <t xml:space="preserve">G259</t>
  </si>
  <si>
    <t xml:space="preserve">G260</t>
  </si>
  <si>
    <t xml:space="preserve">G261</t>
  </si>
  <si>
    <t xml:space="preserve">G262</t>
  </si>
  <si>
    <t xml:space="preserve">G263</t>
  </si>
  <si>
    <t xml:space="preserve">G264</t>
  </si>
  <si>
    <t xml:space="preserve">G265</t>
  </si>
  <si>
    <t xml:space="preserve">G266</t>
  </si>
  <si>
    <t xml:space="preserve">G267</t>
  </si>
  <si>
    <t xml:space="preserve">G268</t>
  </si>
  <si>
    <t xml:space="preserve">G269</t>
  </si>
  <si>
    <t xml:space="preserve">G270</t>
  </si>
  <si>
    <t xml:space="preserve">G271</t>
  </si>
  <si>
    <t xml:space="preserve">G272</t>
  </si>
  <si>
    <t xml:space="preserve">G273</t>
  </si>
  <si>
    <t xml:space="preserve">G274</t>
  </si>
  <si>
    <t xml:space="preserve">G275</t>
  </si>
  <si>
    <t xml:space="preserve">G276</t>
  </si>
  <si>
    <t xml:space="preserve">G277</t>
  </si>
  <si>
    <t xml:space="preserve">G278</t>
  </si>
  <si>
    <t xml:space="preserve">G279</t>
  </si>
  <si>
    <t xml:space="preserve">G280</t>
  </si>
  <si>
    <t xml:space="preserve">G281</t>
  </si>
  <si>
    <t xml:space="preserve">G282</t>
  </si>
  <si>
    <t xml:space="preserve">G283</t>
  </si>
  <si>
    <t xml:space="preserve">G284</t>
  </si>
  <si>
    <t xml:space="preserve">G285</t>
  </si>
  <si>
    <t xml:space="preserve">G286</t>
  </si>
  <si>
    <t xml:space="preserve">G287</t>
  </si>
  <si>
    <t xml:space="preserve">G288</t>
  </si>
  <si>
    <t xml:space="preserve">Lost 14/02/2026, found 16/02/2026</t>
  </si>
  <si>
    <t xml:space="preserve">G289</t>
  </si>
  <si>
    <t xml:space="preserve">G290</t>
  </si>
  <si>
    <t xml:space="preserve">G291</t>
  </si>
  <si>
    <t xml:space="preserve">G292</t>
  </si>
  <si>
    <t xml:space="preserve">G293</t>
  </si>
  <si>
    <t xml:space="preserve">G294</t>
  </si>
  <si>
    <t xml:space="preserve">G295</t>
  </si>
  <si>
    <t xml:space="preserve">G296</t>
  </si>
  <si>
    <t xml:space="preserve">G297</t>
  </si>
  <si>
    <t xml:space="preserve">G298</t>
  </si>
  <si>
    <t xml:space="preserve">G299</t>
  </si>
  <si>
    <t xml:space="preserve">G300</t>
  </si>
  <si>
    <t xml:space="preserve">G301</t>
  </si>
  <si>
    <t xml:space="preserve">G302</t>
  </si>
  <si>
    <t xml:space="preserve">G303</t>
  </si>
  <si>
    <t xml:space="preserve">G304</t>
  </si>
  <si>
    <t xml:space="preserve">G305</t>
  </si>
  <si>
    <t xml:space="preserve">G306</t>
  </si>
  <si>
    <t xml:space="preserve">G307</t>
  </si>
  <si>
    <t xml:space="preserve">G308</t>
  </si>
  <si>
    <t xml:space="preserve">G309</t>
  </si>
  <si>
    <t xml:space="preserve">G310</t>
  </si>
  <si>
    <t xml:space="preserve">G311</t>
  </si>
  <si>
    <t xml:space="preserve">G312</t>
  </si>
  <si>
    <t xml:space="preserve">G313</t>
  </si>
  <si>
    <t xml:space="preserve">G314</t>
  </si>
  <si>
    <t xml:space="preserve">G315</t>
  </si>
  <si>
    <t xml:space="preserve">G316</t>
  </si>
  <si>
    <t xml:space="preserve">G317</t>
  </si>
  <si>
    <t xml:space="preserve">G318</t>
  </si>
  <si>
    <t xml:space="preserve">G319</t>
  </si>
  <si>
    <t xml:space="preserve">G320</t>
  </si>
  <si>
    <t xml:space="preserve">G321</t>
  </si>
  <si>
    <t xml:space="preserve">G322</t>
  </si>
  <si>
    <t xml:space="preserve">G323</t>
  </si>
  <si>
    <t xml:space="preserve">G324</t>
  </si>
  <si>
    <t xml:space="preserve">G325</t>
  </si>
  <si>
    <t xml:space="preserve">G326</t>
  </si>
  <si>
    <t xml:space="preserve">G327</t>
  </si>
  <si>
    <t xml:space="preserve">G328</t>
  </si>
  <si>
    <t xml:space="preserve">G329</t>
  </si>
  <si>
    <t xml:space="preserve">G330</t>
  </si>
  <si>
    <t xml:space="preserve">G331</t>
  </si>
  <si>
    <t xml:space="preserve">G332</t>
  </si>
  <si>
    <t xml:space="preserve">G333</t>
  </si>
  <si>
    <t xml:space="preserve">G334</t>
  </si>
  <si>
    <t xml:space="preserve">G335</t>
  </si>
  <si>
    <t xml:space="preserve">G336</t>
  </si>
  <si>
    <t xml:space="preserve">G337</t>
  </si>
  <si>
    <t xml:space="preserve">G338</t>
  </si>
  <si>
    <t xml:space="preserve">G339</t>
  </si>
  <si>
    <t xml:space="preserve">G340</t>
  </si>
  <si>
    <t xml:space="preserve">G341</t>
  </si>
  <si>
    <t xml:space="preserve">G342</t>
  </si>
  <si>
    <t xml:space="preserve">G343</t>
  </si>
  <si>
    <t xml:space="preserve">G344</t>
  </si>
  <si>
    <t xml:space="preserve">G345</t>
  </si>
  <si>
    <t xml:space="preserve">G346</t>
  </si>
  <si>
    <t xml:space="preserve">G347</t>
  </si>
  <si>
    <t xml:space="preserve">G348</t>
  </si>
  <si>
    <t xml:space="preserve">G349</t>
  </si>
  <si>
    <t xml:space="preserve">G350</t>
  </si>
  <si>
    <t xml:space="preserve">G351</t>
  </si>
  <si>
    <t xml:space="preserve">G352</t>
  </si>
  <si>
    <t xml:space="preserve">G353</t>
  </si>
  <si>
    <t xml:space="preserve">G354</t>
  </si>
  <si>
    <t xml:space="preserve">G355</t>
  </si>
  <si>
    <t xml:space="preserve">G356</t>
  </si>
  <si>
    <t xml:space="preserve">G357</t>
  </si>
  <si>
    <t xml:space="preserve">S007</t>
  </si>
  <si>
    <t xml:space="preserve">Dorper x Red Maasai</t>
  </si>
  <si>
    <t xml:space="preserve">S011</t>
  </si>
  <si>
    <t xml:space="preserve">Red Maasai</t>
  </si>
  <si>
    <t xml:space="preserve">S305</t>
  </si>
  <si>
    <t xml:space="preserve">S140</t>
  </si>
  <si>
    <t xml:space="preserve">S170</t>
  </si>
  <si>
    <t xml:space="preserve">S299</t>
  </si>
  <si>
    <t xml:space="preserve">S201</t>
  </si>
  <si>
    <t xml:space="preserve">S202</t>
  </si>
  <si>
    <t xml:space="preserve">S203</t>
  </si>
  <si>
    <t xml:space="preserve">S204</t>
  </si>
  <si>
    <t xml:space="preserve">Dorper</t>
  </si>
  <si>
    <t xml:space="preserve">S205</t>
  </si>
  <si>
    <t xml:space="preserve">S206</t>
  </si>
  <si>
    <t xml:space="preserve">S207</t>
  </si>
  <si>
    <t xml:space="preserve">S208</t>
  </si>
  <si>
    <t xml:space="preserve">S209</t>
  </si>
  <si>
    <t xml:space="preserve">S210</t>
  </si>
  <si>
    <t xml:space="preserve">S211</t>
  </si>
  <si>
    <t xml:space="preserve">S212</t>
  </si>
  <si>
    <t xml:space="preserve">S213</t>
  </si>
  <si>
    <t xml:space="preserve">S214</t>
  </si>
  <si>
    <t xml:space="preserve">S215</t>
  </si>
  <si>
    <t xml:space="preserve">S216</t>
  </si>
  <si>
    <t xml:space="preserve">S217</t>
  </si>
  <si>
    <t xml:space="preserve">S218</t>
  </si>
  <si>
    <t xml:space="preserve">S219</t>
  </si>
  <si>
    <t xml:space="preserve">S220</t>
  </si>
  <si>
    <t xml:space="preserve">S221</t>
  </si>
  <si>
    <t xml:space="preserve">S222</t>
  </si>
  <si>
    <t xml:space="preserve">S223</t>
  </si>
  <si>
    <t xml:space="preserve">S224</t>
  </si>
  <si>
    <t xml:space="preserve">S225</t>
  </si>
  <si>
    <t xml:space="preserve">S226</t>
  </si>
  <si>
    <t xml:space="preserve">S227</t>
  </si>
  <si>
    <t xml:space="preserve">S228</t>
  </si>
  <si>
    <t xml:space="preserve">S229</t>
  </si>
  <si>
    <t xml:space="preserve">S230</t>
  </si>
  <si>
    <t xml:space="preserve">S231</t>
  </si>
  <si>
    <t xml:space="preserve">S232</t>
  </si>
  <si>
    <t xml:space="preserve">S233</t>
  </si>
  <si>
    <t xml:space="preserve">S234</t>
  </si>
  <si>
    <t xml:space="preserve">S235</t>
  </si>
  <si>
    <t xml:space="preserve">S236</t>
  </si>
  <si>
    <t xml:space="preserve">S237</t>
  </si>
  <si>
    <t xml:space="preserve">S238</t>
  </si>
  <si>
    <t xml:space="preserve">S239</t>
  </si>
  <si>
    <t xml:space="preserve">S240</t>
  </si>
  <si>
    <t xml:space="preserve">S241</t>
  </si>
  <si>
    <t xml:space="preserve">S242</t>
  </si>
  <si>
    <t xml:space="preserve">S243</t>
  </si>
  <si>
    <t xml:space="preserve">S244</t>
  </si>
  <si>
    <t xml:space="preserve">S245</t>
  </si>
  <si>
    <t xml:space="preserve">S246</t>
  </si>
  <si>
    <t xml:space="preserve">S247</t>
  </si>
  <si>
    <t xml:space="preserve">S248</t>
  </si>
  <si>
    <t xml:space="preserve">S249</t>
  </si>
  <si>
    <t xml:space="preserve">S250</t>
  </si>
  <si>
    <t xml:space="preserve">S251</t>
  </si>
  <si>
    <t xml:space="preserve">S252</t>
  </si>
  <si>
    <t xml:space="preserve">S253</t>
  </si>
  <si>
    <t xml:space="preserve">S254</t>
  </si>
  <si>
    <t xml:space="preserve">S255</t>
  </si>
  <si>
    <t xml:space="preserve">S256</t>
  </si>
  <si>
    <t xml:space="preserve">S257</t>
  </si>
  <si>
    <t xml:space="preserve">S258</t>
  </si>
  <si>
    <t xml:space="preserve">S259</t>
  </si>
  <si>
    <t xml:space="preserve">S260</t>
  </si>
  <si>
    <t xml:space="preserve">S261</t>
  </si>
  <si>
    <t xml:space="preserve">S262</t>
  </si>
  <si>
    <t xml:space="preserve">S263</t>
  </si>
  <si>
    <t xml:space="preserve">S264</t>
  </si>
  <si>
    <t xml:space="preserve">S265</t>
  </si>
  <si>
    <t xml:space="preserve">S266</t>
  </si>
  <si>
    <t xml:space="preserve">S267</t>
  </si>
  <si>
    <t xml:space="preserve">S268</t>
  </si>
  <si>
    <t xml:space="preserve">S269</t>
  </si>
  <si>
    <t xml:space="preserve">S270</t>
  </si>
  <si>
    <t xml:space="preserve">S271</t>
  </si>
  <si>
    <t xml:space="preserve">S272</t>
  </si>
  <si>
    <t xml:space="preserve">S273</t>
  </si>
  <si>
    <t xml:space="preserve">S274</t>
  </si>
  <si>
    <t xml:space="preserve">S275</t>
  </si>
  <si>
    <t xml:space="preserve">S276</t>
  </si>
  <si>
    <t xml:space="preserve">S277</t>
  </si>
  <si>
    <t xml:space="preserve">S278</t>
  </si>
  <si>
    <t xml:space="preserve">S279</t>
  </si>
  <si>
    <t xml:space="preserve">S280</t>
  </si>
  <si>
    <t xml:space="preserve">S281</t>
  </si>
  <si>
    <t xml:space="preserve">S282</t>
  </si>
  <si>
    <t xml:space="preserve">S283</t>
  </si>
  <si>
    <t xml:space="preserve">S284</t>
  </si>
  <si>
    <t xml:space="preserve">S285</t>
  </si>
  <si>
    <t xml:space="preserve">S286</t>
  </si>
  <si>
    <t xml:space="preserve">S287</t>
  </si>
  <si>
    <t xml:space="preserve">S288</t>
  </si>
  <si>
    <t xml:space="preserve">S289</t>
  </si>
  <si>
    <t xml:space="preserve">S290</t>
  </si>
  <si>
    <t xml:space="preserve">S291</t>
  </si>
  <si>
    <t xml:space="preserve">S292</t>
  </si>
  <si>
    <t xml:space="preserve">S293</t>
  </si>
  <si>
    <t xml:space="preserve">S294</t>
  </si>
  <si>
    <t xml:space="preserve">S295</t>
  </si>
  <si>
    <t xml:space="preserve">S296</t>
  </si>
  <si>
    <t xml:space="preserve">S297</t>
  </si>
  <si>
    <t xml:space="preserve">S298</t>
  </si>
  <si>
    <t xml:space="preserve">S300</t>
  </si>
  <si>
    <t xml:space="preserve">S301</t>
  </si>
  <si>
    <t xml:space="preserve">S302</t>
  </si>
  <si>
    <t xml:space="preserve">S303</t>
  </si>
  <si>
    <t xml:space="preserve">S304</t>
  </si>
  <si>
    <t xml:space="preserve">S306</t>
  </si>
  <si>
    <t xml:space="preserve">S307</t>
  </si>
  <si>
    <t xml:space="preserve">S308</t>
  </si>
  <si>
    <t xml:space="preserve">S309</t>
  </si>
  <si>
    <t xml:space="preserve">S310</t>
  </si>
  <si>
    <t xml:space="preserve">S311</t>
  </si>
  <si>
    <t xml:space="preserve">S312</t>
  </si>
  <si>
    <t xml:space="preserve">S313</t>
  </si>
  <si>
    <t xml:space="preserve">S314</t>
  </si>
  <si>
    <t xml:space="preserve">S315</t>
  </si>
  <si>
    <t xml:space="preserve">S316</t>
  </si>
  <si>
    <t xml:space="preserve">S317</t>
  </si>
  <si>
    <t xml:space="preserve">S318</t>
  </si>
  <si>
    <t xml:space="preserve">S319</t>
  </si>
  <si>
    <t xml:space="preserve">S320</t>
  </si>
  <si>
    <t xml:space="preserve">S321</t>
  </si>
  <si>
    <t xml:space="preserve">S322</t>
  </si>
  <si>
    <t xml:space="preserve">S323</t>
  </si>
  <si>
    <t xml:space="preserve">S324</t>
  </si>
  <si>
    <t xml:space="preserve">S325</t>
  </si>
  <si>
    <t xml:space="preserve">S326</t>
  </si>
  <si>
    <t xml:space="preserve">S327</t>
  </si>
  <si>
    <t xml:space="preserve">S328</t>
  </si>
  <si>
    <t xml:space="preserve">S329</t>
  </si>
  <si>
    <t xml:space="preserve">S330</t>
  </si>
  <si>
    <t xml:space="preserve">S331</t>
  </si>
  <si>
    <t xml:space="preserve">S332</t>
  </si>
  <si>
    <t xml:space="preserve">S333</t>
  </si>
  <si>
    <t xml:space="preserve">S334</t>
  </si>
  <si>
    <t xml:space="preserve">S335</t>
  </si>
  <si>
    <t xml:space="preserve">S336</t>
  </si>
  <si>
    <t xml:space="preserve">S337</t>
  </si>
  <si>
    <t xml:space="preserve">S338</t>
  </si>
  <si>
    <t xml:space="preserve">S339</t>
  </si>
  <si>
    <t xml:space="preserve">S340</t>
  </si>
  <si>
    <t xml:space="preserve">S341</t>
  </si>
  <si>
    <t xml:space="preserve">S342</t>
  </si>
  <si>
    <t xml:space="preserve">S343</t>
  </si>
  <si>
    <t xml:space="preserve">S344</t>
  </si>
  <si>
    <t xml:space="preserve">S345</t>
  </si>
  <si>
    <t xml:space="preserve">S346</t>
  </si>
  <si>
    <t xml:space="preserve">S347</t>
  </si>
  <si>
    <t xml:space="preserve">S348</t>
  </si>
  <si>
    <t xml:space="preserve">S349</t>
  </si>
  <si>
    <t xml:space="preserve">S350</t>
  </si>
  <si>
    <t xml:space="preserve">S351</t>
  </si>
  <si>
    <t xml:space="preserve">S352</t>
  </si>
  <si>
    <t xml:space="preserve">S353</t>
  </si>
  <si>
    <t xml:space="preserve">S354</t>
  </si>
  <si>
    <t xml:space="preserve">S355</t>
  </si>
  <si>
    <t xml:space="preserve">S356</t>
  </si>
  <si>
    <t xml:space="preserve">S357</t>
  </si>
  <si>
    <t xml:space="preserve">S358</t>
  </si>
  <si>
    <t xml:space="preserve">S359</t>
  </si>
  <si>
    <t xml:space="preserve">S360</t>
  </si>
  <si>
    <t xml:space="preserve">S361</t>
  </si>
  <si>
    <t xml:space="preserve">S362</t>
  </si>
  <si>
    <t xml:space="preserve">S363</t>
  </si>
  <si>
    <t xml:space="preserve">S364</t>
  </si>
  <si>
    <t xml:space="preserve">S365</t>
  </si>
  <si>
    <t xml:space="preserve">S366</t>
  </si>
  <si>
    <t xml:space="preserve">S367</t>
  </si>
  <si>
    <t xml:space="preserve">S368</t>
  </si>
  <si>
    <t xml:space="preserve">S369</t>
  </si>
  <si>
    <t xml:space="preserve">S370</t>
  </si>
  <si>
    <t xml:space="preserve">S371</t>
  </si>
  <si>
    <t xml:space="preserve">S372</t>
  </si>
  <si>
    <t xml:space="preserve">S373</t>
  </si>
  <si>
    <t xml:space="preserve">S374</t>
  </si>
  <si>
    <t xml:space="preserve">S375</t>
  </si>
  <si>
    <t xml:space="preserve">S376</t>
  </si>
  <si>
    <t xml:space="preserve">S377</t>
  </si>
  <si>
    <t xml:space="preserve">S378</t>
  </si>
  <si>
    <t xml:space="preserve">S379</t>
  </si>
  <si>
    <t xml:space="preserve">S380</t>
  </si>
  <si>
    <t xml:space="preserve">S381</t>
  </si>
  <si>
    <t xml:space="preserve">S382</t>
  </si>
  <si>
    <t xml:space="preserve">S383</t>
  </si>
  <si>
    <t xml:space="preserve">S384</t>
  </si>
  <si>
    <t xml:space="preserve">S385</t>
  </si>
  <si>
    <t xml:space="preserve">S386</t>
  </si>
  <si>
    <t xml:space="preserve">S387</t>
  </si>
  <si>
    <t xml:space="preserve">S388</t>
  </si>
  <si>
    <t xml:space="preserve">S389</t>
  </si>
  <si>
    <t xml:space="preserve">S390</t>
  </si>
  <si>
    <t xml:space="preserve">S391</t>
  </si>
  <si>
    <t xml:space="preserve">S392</t>
  </si>
  <si>
    <t xml:space="preserve">S393</t>
  </si>
  <si>
    <t xml:space="preserve">S394</t>
  </si>
  <si>
    <t xml:space="preserve">S395</t>
  </si>
  <si>
    <t xml:space="preserve">S396</t>
  </si>
  <si>
    <t xml:space="preserve">S397</t>
  </si>
  <si>
    <t xml:space="preserve">S398</t>
  </si>
  <si>
    <t xml:space="preserve">S399</t>
  </si>
  <si>
    <t xml:space="preserve">S400</t>
  </si>
  <si>
    <t xml:space="preserve">S401</t>
  </si>
  <si>
    <t xml:space="preserve">S402</t>
  </si>
  <si>
    <t xml:space="preserve">S403</t>
  </si>
  <si>
    <t xml:space="preserve">S404</t>
  </si>
  <si>
    <t xml:space="preserve">S405</t>
  </si>
  <si>
    <t xml:space="preserve">S406</t>
  </si>
  <si>
    <t xml:space="preserve">S407</t>
  </si>
  <si>
    <t xml:space="preserve">S408</t>
  </si>
  <si>
    <t xml:space="preserve">S409</t>
  </si>
  <si>
    <t xml:space="preserve">S410</t>
  </si>
  <si>
    <t xml:space="preserve">S411</t>
  </si>
  <si>
    <t xml:space="preserve">S412</t>
  </si>
  <si>
    <t xml:space="preserve">S413</t>
  </si>
  <si>
    <t xml:space="preserve">S414</t>
  </si>
  <si>
    <t xml:space="preserve">S415</t>
  </si>
  <si>
    <t xml:space="preserve">S416</t>
  </si>
  <si>
    <t xml:space="preserve">S417</t>
  </si>
  <si>
    <t xml:space="preserve">S418</t>
  </si>
  <si>
    <t xml:space="preserve">S419</t>
  </si>
  <si>
    <t xml:space="preserve">S420</t>
  </si>
  <si>
    <t xml:space="preserve">Aga</t>
  </si>
  <si>
    <t xml:space="preserve">S421</t>
  </si>
  <si>
    <t xml:space="preserve">S422</t>
  </si>
  <si>
    <t xml:space="preserve">S423</t>
  </si>
  <si>
    <t xml:space="preserve">S424</t>
  </si>
  <si>
    <t xml:space="preserve">S425</t>
  </si>
  <si>
    <t xml:space="preserve">S426</t>
  </si>
  <si>
    <t xml:space="preserve">S427</t>
  </si>
  <si>
    <t xml:space="preserve">Date</t>
  </si>
  <si>
    <t xml:space="preserve">Young (tags)</t>
  </si>
  <si>
    <t xml:space="preserve">Sex of young</t>
  </si>
  <si>
    <t xml:space="preserve">Single or twins</t>
  </si>
  <si>
    <t xml:space="preserve">Source</t>
  </si>
  <si>
    <t xml:space="preserve">Single</t>
  </si>
  <si>
    <t xml:space="preserve">Livestock Tracker, 2025 - 2026 Cow Tracker, 02/01/2025</t>
  </si>
  <si>
    <t xml:space="preserve">Livestock Tracker, 2025 - 2026 Cow Tracker, 04/01/2025</t>
  </si>
  <si>
    <t xml:space="preserve">Livestock Tracker, 2025 - 2026 Cow Tracker, 06/01/2025</t>
  </si>
  <si>
    <t xml:space="preserve">Livestock Tracker, 2025 - 2026 Cow Tracker, 10/01/2025: "1 He Calf new born"</t>
  </si>
  <si>
    <t xml:space="preserve">Livestock Tracker, 2025 - 2026 Cow Tracker, 15/01/2025</t>
  </si>
  <si>
    <t xml:space="preserve">Livestock Tracker, 2025 - 2026 Cow Tracker, 22/01/2025</t>
  </si>
  <si>
    <t xml:space="preserve">Livestock Tracker, 2025 - 2026 Cow Tracker, 13/03/2025: "1 He Calf new born"</t>
  </si>
  <si>
    <t xml:space="preserve">Livestock Tracker, 2025 - 2026 Cow Tracker, 14/04/2025</t>
  </si>
  <si>
    <t xml:space="preserve">Livestock Tracker, 2025 - 2026 Cow Tracker, 25/04/2025</t>
  </si>
  <si>
    <t xml:space="preserve">Livestock Tracker, 2025 - 2026 Cow Tracker, 30/05/2025: "1 She cow new born"</t>
  </si>
  <si>
    <t xml:space="preserve">Livestock Tracker, 2025 - 2026 Cow Tracker, 12/06/2025: "1 She calve new born"</t>
  </si>
  <si>
    <t xml:space="preserve">Livestock Tracker, 2025 - 2026 Goat Tracker, 12/06/2025: "1 He goat new born"</t>
  </si>
  <si>
    <t xml:space="preserve">Livestock Tracker, 2025-2026 Sheep Tracker, 12/06/2025: "1 He new born"</t>
  </si>
  <si>
    <t xml:space="preserve">Livestock Tracker, 2025 - 2026 Cow Tracker, 13/06/2025: "1 He Calf new born"</t>
  </si>
  <si>
    <t xml:space="preserve">Livestock Tracker, 2025 - 2026 Goat Tracker, 17/06/2025: "1 He goat new born"</t>
  </si>
  <si>
    <t xml:space="preserve">G307, G308</t>
  </si>
  <si>
    <t xml:space="preserve">Male, Female</t>
  </si>
  <si>
    <t xml:space="preserve">Twins</t>
  </si>
  <si>
    <t xml:space="preserve">Livestock Tracker, 2025 - 2026 Goat Tracker, 18/06/2025: "1 She / 1 He New born"</t>
  </si>
  <si>
    <t xml:space="preserve">Livestock Tracker, 2025 - 2026 Goat Tracker, 20/06/2025: "1 He goat new born"</t>
  </si>
  <si>
    <t xml:space="preserve">Livestock Tracker, 2025 - 2026 Goat Tracker, 25/06/2025: "1 He new born"</t>
  </si>
  <si>
    <t xml:space="preserve">S011, S341</t>
  </si>
  <si>
    <t xml:space="preserve">Livestock Tracker, 2025-2026 Sheep Tracker, 25/06/2025: "1 He / She new born"</t>
  </si>
  <si>
    <t xml:space="preserve">Livestock Tracker, 2025 - 2026 Cow Tracker, 27/06/2025: "1 she new"</t>
  </si>
  <si>
    <t xml:space="preserve">Livestock Tracker, 2025-2026 Sheep Tracker, 27/06/2025: "1 He new born"</t>
  </si>
  <si>
    <t xml:space="preserve">S343, S344</t>
  </si>
  <si>
    <t xml:space="preserve">Livestock Tracker, 2025-2026 Sheep Tracker, 01/07/2025: "1 He new born / 1 she new born"</t>
  </si>
  <si>
    <t xml:space="preserve">Livestock Tracker, 2025-2026 Sheep Tracker, 02/07/2025: "1 He new born"</t>
  </si>
  <si>
    <t xml:space="preserve">Livestock Tracker, 2025-2026 Sheep Tracker, 05/07/2025: "1 she sheep new born"</t>
  </si>
  <si>
    <t xml:space="preserve">S347, S348</t>
  </si>
  <si>
    <t xml:space="preserve">Male, Male</t>
  </si>
  <si>
    <t xml:space="preserve">Livestock Tracker, 2025-2026 Sheep Tracker, 06/07/2025: "2 He new born"</t>
  </si>
  <si>
    <t xml:space="preserve">S349, S350</t>
  </si>
  <si>
    <t xml:space="preserve">Livestock Tracker, 2025-2026 Sheep Tracker, 08/07/2025: "1 he new born"</t>
  </si>
  <si>
    <t xml:space="preserve">Livestock Tracker, 2025-2026 Sheep Tracker, 09/07/2025: "1 she new born"</t>
  </si>
  <si>
    <t xml:space="preserve">Livestock Tracker, 2025 - 2026 Cow Tracker, 18/07/2025: "1 He new Born"</t>
  </si>
  <si>
    <t xml:space="preserve">Livestock Tracker, 2025-2026 Sheep Tracker, 19/07/2025: "1 she sheep new born"</t>
  </si>
  <si>
    <t xml:space="preserve">Livestock Tracker, 2025-2026 Sheep Tracker, 21/07/2025: "1 he new born"</t>
  </si>
  <si>
    <t xml:space="preserve">Livestock Tracker, 2025-2026 Sheep Tracker, 23/07/2025: "1 He new born"</t>
  </si>
  <si>
    <t xml:space="preserve">Livestock Tracker, 2025-2026 Sheep Tracker, 27/07/2025: "1 he sheep new born"</t>
  </si>
  <si>
    <t xml:space="preserve">G311, G312</t>
  </si>
  <si>
    <t xml:space="preserve">Livestock Tracker, 2025 - 2026 Goat Tracker, 11/08/2025: "2 He new born"</t>
  </si>
  <si>
    <t xml:space="preserve">G313, G314</t>
  </si>
  <si>
    <t xml:space="preserve">Livestock Tracker, 2025 - 2026 Goat Tracker, 14/08/2025: "4 He new born, 2 She"</t>
  </si>
  <si>
    <t xml:space="preserve">G315, G316</t>
  </si>
  <si>
    <t xml:space="preserve">G317, G318</t>
  </si>
  <si>
    <t xml:space="preserve">Female, Female</t>
  </si>
  <si>
    <t xml:space="preserve">Livestock Tracker, 2025-2026 Sheep Tracker, 15/08/2025: "1 He new born"</t>
  </si>
  <si>
    <t xml:space="preserve">Livestock Tracker, 2025 - 2026 Goat Tracker, 16/08/2025: "1 She new born / 1 He goat died"</t>
  </si>
  <si>
    <t xml:space="preserve">Livestock Tracker, 2025-2026 Sheep Tracker, 25/08/2025: "1 He new born"</t>
  </si>
  <si>
    <t xml:space="preserve">Livestock Tracker, 2025-2026 Sheep Tracker, 26/08/2025: "1 He new born"</t>
  </si>
  <si>
    <t xml:space="preserve">S359, S360</t>
  </si>
  <si>
    <t xml:space="preserve">Livestock Tracker, 2025-2026 Sheep Tracker, 01/09/2025: "1 She died, 2 He Newborn, 3 She died"</t>
  </si>
  <si>
    <t xml:space="preserve">S361, S362</t>
  </si>
  <si>
    <t xml:space="preserve">Livestock Tracker, 2025 - 2026 Cow Tracker, 12/09/2025: "1 she new born"</t>
  </si>
  <si>
    <t xml:space="preserve">Livestock Tracker, 2025 - 2026 Cow Tracker, 15/09/2025: "1 He Calf new born"</t>
  </si>
  <si>
    <t xml:space="preserve">Livestock Tracker, 2025 - 2026 Cow Tracker, 09/10/2025: "1 He new born"</t>
  </si>
  <si>
    <t xml:space="preserve">Livestock Tracker, 2025-2026 Sheep Tracker, 11/10/2025: "1 He sheep kid new born"</t>
  </si>
  <si>
    <t xml:space="preserve">Livestock Tracker, 2025 - 2026 Cow Tracker, 25/10/2025: "1 Bull Sold, I he cald new born"</t>
  </si>
  <si>
    <t xml:space="preserve">Livestock Tracker, 2025 - 2026 Cow Tracker, 05/11/2025: "1 She calf new born"</t>
  </si>
  <si>
    <t xml:space="preserve">Livestock Tracker, 2025 - 2026 Cow Tracker, 07/11/2025: "1 He / 1 She new born"</t>
  </si>
  <si>
    <t xml:space="preserve">Livestock Tracker, 2025 - 2026 Cow Tracker, 08/11/2025: "1 She calf new born"</t>
  </si>
  <si>
    <t xml:space="preserve">Livestock Tracker, 2025 - 2026 Cow Tracker, 14/11/2025: "1 She calf new born"</t>
  </si>
  <si>
    <t xml:space="preserve">Livestock Tracker, 2025 - 2026 Cow Tracker, 15/11/2025: "1 He Calf new born"</t>
  </si>
  <si>
    <t xml:space="preserve">G322, G323</t>
  </si>
  <si>
    <t xml:space="preserve">Livestock Tracker, 2025 - 2026 Goat Tracker, 18/11/2025: "2 she born"</t>
  </si>
  <si>
    <t xml:space="preserve">Livestock Tracker, 2025 - 2026 Goat Tracker, 23/11/2025: "1 she new born"</t>
  </si>
  <si>
    <t xml:space="preserve">G325, G326</t>
  </si>
  <si>
    <t xml:space="preserve">Livestock Tracker, 2025 - 2026 Goat Tracker, 24/11/2025: "1 He and 1 She New Born"</t>
  </si>
  <si>
    <t xml:space="preserve">Livestock Tracker, 2025 - 2026 Goat Tracker, 25/11/2025: "1 He new born"</t>
  </si>
  <si>
    <t xml:space="preserve">Livestock Tracker, 2025 - 2026 Cow Tracker, 01/12/2025: "1 He new born"</t>
  </si>
  <si>
    <t xml:space="preserve">Livestock Tracker, 2025 - 2026 Cow Tracker, 09/12/2025: "1 He Calf new born"</t>
  </si>
  <si>
    <t xml:space="preserve">Livestock Tracker, 2025 - 2026 Cow Tracker, 17/12/2025: "2 He calf born , 1 he calf died"</t>
  </si>
  <si>
    <t xml:space="preserve">Livestock Tracker, 2025 - 2026 Cow Tracker, 28/12/2025: "1 He new born"</t>
  </si>
  <si>
    <t xml:space="preserve">Livestock Tracker, 2025-2026 Sheep Tracker, 09/01/2026: "1 she new born"</t>
  </si>
  <si>
    <t xml:space="preserve">Livestock Tracker, 2025 - 2026 Cow Tracker, 11/01/2026: "1 He new born"</t>
  </si>
  <si>
    <t xml:space="preserve">Livestock Tracker, 2025 - 2026 Cow Tracker, 17/01/2026</t>
  </si>
  <si>
    <t xml:space="preserve">Livestock Tracker, 2025 - 2026 Cow Tracker, 27/01/2026</t>
  </si>
  <si>
    <t xml:space="preserve">Livestock Tracker, 2025 - 2026 Cow Tracker, 06/02/2026: "1 He New born"</t>
  </si>
  <si>
    <t xml:space="preserve">Livestock Tracker, 2025 - 2026 Goat Tracker, 08/02/2026: "1 She new born"</t>
  </si>
  <si>
    <t xml:space="preserve">Livestock Tracker, 2025 - 2026 Goat Tracker, 16/02/2026: "1 She goat found, 1 New born"</t>
  </si>
  <si>
    <t xml:space="preserve">Livestock Tracker, 2025 - 2026 Goat Tracker, 19/02/2026: "1 He new born"</t>
  </si>
  <si>
    <t xml:space="preserve">G331, G332</t>
  </si>
  <si>
    <t xml:space="preserve">Livestock Tracker, 2025 - 2026 Goat Tracker, 22/02/2026: "2 He new born"</t>
  </si>
  <si>
    <t xml:space="preserve">G333, G334</t>
  </si>
  <si>
    <t xml:space="preserve">Livestock Tracker, 2025 - 2026 Goat Tracker, 23/02/2026: "1 he new born"</t>
  </si>
  <si>
    <t xml:space="preserve">Livestock Tracker, 2025-2026 Sheep Tracker, 27/02/2026: "1 He sheep kid new born"</t>
  </si>
  <si>
    <t xml:space="preserve">S368, S369</t>
  </si>
  <si>
    <t xml:space="preserve">Livestock Tracker, 2025-2026 Sheep Tracker, 05/03/2026: "1 he &amp; 1 she kid new born"</t>
  </si>
  <si>
    <t xml:space="preserve">Livestock Tracker, 2025 - 2026 Cow Tracker, 06/03/2026: "1 He new born"</t>
  </si>
  <si>
    <t xml:space="preserve">Livestock Tracker, 2025-2026 Sheep Tracker, 09/03/2026: "1 He sheep born"</t>
  </si>
  <si>
    <t xml:space="preserve">Livestock Tracker, 2025-2026 Sheep Tracker, 14/03/2026: "1 he sheep new born"</t>
  </si>
  <si>
    <t xml:space="preserve">Livestock Tracker, 2025 - 2026 Cow Tracker, 16/03/2026</t>
  </si>
  <si>
    <t xml:space="preserve">Livestock Tracker, 2025-2026 Sheep Tracker, 16/03/2026: "1 she sheep new born"</t>
  </si>
  <si>
    <t xml:space="preserve">Livestock Tracker, 2025-2026 Sheep Tracker, 22/03/2026: "1 He new born"</t>
  </si>
  <si>
    <t xml:space="preserve">Livestock Tracker, 2025-2026 Sheep Tracker, 02/04/2026: "1 she born"</t>
  </si>
  <si>
    <t xml:space="preserve">Livestock Tracker, 2025-2026 Sheep Tracker, 03/04/2026: "1 she born"</t>
  </si>
  <si>
    <t xml:space="preserve">Livestock Tracker, 2025-2026 Sheep Tracker, 05/04/2026: "1 she born"</t>
  </si>
  <si>
    <t xml:space="preserve">Livestock Tracker, 2025 - 2026 Cow Tracker, 07/04/2026: "1 he calf born"</t>
  </si>
  <si>
    <t xml:space="preserve">S377, S378</t>
  </si>
  <si>
    <t xml:space="preserve">Livestock Tracker, 2025-2026 Sheep Tracker, 07/04/2026: "1 he and 1 she born"</t>
  </si>
  <si>
    <t xml:space="preserve">S379, S380</t>
  </si>
  <si>
    <t xml:space="preserve">Livestock Tracker, 2025-2026 Sheep Tracker, 08/04/2026: "1 he and 1 she born"</t>
  </si>
  <si>
    <t xml:space="preserve">Livestock Tracker, 2025-2026 Sheep Tracker, 10/04/2026: "1 He new born"</t>
  </si>
  <si>
    <t xml:space="preserve">Livestock Tracker, 2025-2026 Sheep Tracker, 11/04/2026: "1 She new born"</t>
  </si>
  <si>
    <t xml:space="preserve">Livestock Tracker, 2025-2026 Sheep Tracker, 12/04/2026: "1 He new born"</t>
  </si>
  <si>
    <t xml:space="preserve">Livestock Tracker, 2025-2026 Sheep Tracker, 13/04/2026: "1 she new born"</t>
  </si>
  <si>
    <t xml:space="preserve">Livestock Tracker, 2025-2026 Sheep Tracker, 14/04/2026: "1 she new born"</t>
  </si>
  <si>
    <t xml:space="preserve">S170, S386</t>
  </si>
  <si>
    <t xml:space="preserve">Livestock Tracker, 2025-2026 Sheep Tracker, 18/04/2026: "3 He and 1 she new born"</t>
  </si>
  <si>
    <t xml:space="preserve">S387, S388</t>
  </si>
  <si>
    <t xml:space="preserve">Livestock Tracker, 2025-2026 Sheep Tracker, 22/04/2026: "1 she sheep new born"</t>
  </si>
  <si>
    <t xml:space="preserve">Livestock Tracker, 2025-2026 Sheep Tracker, 24/04/2026: "1 he sheep new born"</t>
  </si>
  <si>
    <t xml:space="preserve">Livestock Tracker, 2025-2026 Sheep Tracker, 26/04/2026: "1 she sheep new born"</t>
  </si>
  <si>
    <t xml:space="preserve">S392, S393</t>
  </si>
  <si>
    <t xml:space="preserve">Livestock Tracker, 2025-2026 Sheep Tracker, 28/04/2026: "1 he / 1 she new born"</t>
  </si>
  <si>
    <t xml:space="preserve">Livestock Tracker, 2025 - 2026 Cow Tracker, 30/04/2026: "1 He Calf new born"</t>
  </si>
  <si>
    <t xml:space="preserve">S394, S395</t>
  </si>
  <si>
    <t xml:space="preserve">Livestock Tracker, 2025-2026 Sheep Tracker, 03/05/2026: "1 He new born / 1 she new born"</t>
  </si>
  <si>
    <t xml:space="preserve">Livestock Tracker, 2025-2026 Sheep Tracker, 10/05/2026: "1 he new born"</t>
  </si>
  <si>
    <t xml:space="preserve">S397, S398</t>
  </si>
  <si>
    <t xml:space="preserve">Livestock Tracker, 2025-2026 Sheep Tracker, 12/05/2026: "2 he / 1 she new born"</t>
  </si>
  <si>
    <t xml:space="preserve">Livestock Tracker, 2025-2026 Sheep Tracker, 13/05/2026: "tranferred 1 she / 1 he new born"</t>
  </si>
  <si>
    <t xml:space="preserve">Livestock Tracker, 2025-2026 Sheep Tracker, 14/05/2026: "transferred 1 he kid / 1 she sheep kid"</t>
  </si>
  <si>
    <t xml:space="preserve">Livestock Tracker, 2025-2026 Sheep Tracker, 15/05/2026: "1 she kid new born. 4 sheep sold"</t>
  </si>
  <si>
    <t xml:space="preserve">S403, S404</t>
  </si>
  <si>
    <t xml:space="preserve">Livestock Tracker, 2025-2026 Sheep Tracker, 17/05/2026: "2 He new born / 1 she kid died"</t>
  </si>
  <si>
    <t xml:space="preserve">Livestock Tracker, 2025 - 2026 Cow Tracker, 18/05/2026: "1 he calf died / 1 she new born"</t>
  </si>
  <si>
    <t xml:space="preserve">Livestock Tracker, 2025-2026 Sheep Tracker, 19/05/2026: "1 She new born"</t>
  </si>
  <si>
    <t xml:space="preserve">Livestock Tracker, 2025 - 2026 Cow Tracker, 25/05/2026</t>
  </si>
  <si>
    <t xml:space="preserve">Livestock Tracker, 2025 - 2026 Cow Tracker, 02/06/2026: "1 He Calf new born"</t>
  </si>
  <si>
    <t xml:space="preserve">Livestock Tracker, 2025-2026 Sheep Tracker, 15/06/2026: "1 She new born"</t>
  </si>
  <si>
    <t xml:space="preserve">Livestock Tracker, 2025-2026 Sheep Tracker, 16/06/2026: "1 She new born"</t>
  </si>
  <si>
    <t xml:space="preserve">G335, G336</t>
  </si>
  <si>
    <t xml:space="preserve">Livestock Tracker, 2025 - 2026 Goat Tracker, 22/06/2026: "1 he / 1 she new born"</t>
  </si>
  <si>
    <t xml:space="preserve">Livestock Tracker, 2025-2026 Sheep Tracker, 22/06/2026: "1 She new born"</t>
  </si>
  <si>
    <t xml:space="preserve">Livestock Tracker, 2025 - 2026 Goat Tracker, 23/06/2026: "1 hhe new born"</t>
  </si>
  <si>
    <t xml:space="preserve">Livestock Tracker, 2025-2026 Sheep Tracker, 23/06/2026: "1 She new born"</t>
  </si>
  <si>
    <t xml:space="preserve">Livestock Tracker, 2025 - 2026 Cow Tracker, 24/06/2026: "1 He calf born"</t>
  </si>
  <si>
    <t xml:space="preserve">Livestock Tracker, 2025 - 2026 Goat Tracker, 24/06/2026: "1 he new born"</t>
  </si>
  <si>
    <t xml:space="preserve">G339, G340</t>
  </si>
  <si>
    <t xml:space="preserve">Livestock Tracker, 2025 - 2026 Goat Tracker, 25/06/2026: "2 he / 2 she new born"</t>
  </si>
  <si>
    <t xml:space="preserve">G341, G342</t>
  </si>
  <si>
    <t xml:space="preserve">Livestock Tracker, 2025-2026 Sheep Tracker, 25/06/2026: "1 She new born"</t>
  </si>
  <si>
    <t xml:space="preserve">G343, G344</t>
  </si>
  <si>
    <t xml:space="preserve">Livestock Tracker, 2025 - 2026 Goat Tracker, 28/06/2026: "3 he / 1 she"</t>
  </si>
  <si>
    <t xml:space="preserve">G345, G346</t>
  </si>
  <si>
    <t xml:space="preserve">Livestock Tracker, 2025 - 2026 Goat Tracker, 29/06/2026: "1 he new born"</t>
  </si>
  <si>
    <t xml:space="preserve">Livestock Tracker, 2025-2026 Sheep Tracker, 29/06/2026: "1 HE NEW BORN"</t>
  </si>
  <si>
    <t xml:space="preserve">G348, G349</t>
  </si>
  <si>
    <t xml:space="preserve">Livestock Tracker, 2025 - 2026 Goat Tracker, 30/06/2026: "1 he and 2 she"</t>
  </si>
  <si>
    <t xml:space="preserve">S412, S413</t>
  </si>
  <si>
    <t xml:space="preserve">Livestock Tracker, 2025-2026 Sheep Tracker, 30/06/2026: "1 he / 1 she new born"</t>
  </si>
  <si>
    <t xml:space="preserve">G351, G352</t>
  </si>
  <si>
    <t xml:space="preserve">Livestock Tracker, 2025 - 2026 Goat Tracker, 01/07/2026: "1 she died and 2 he new born"</t>
  </si>
  <si>
    <t xml:space="preserve">Livestock Tracker, 2025 - 2026 Goat Tracker, 02/07/2026: "1 she new born"</t>
  </si>
  <si>
    <t xml:space="preserve">Livestock Tracker, 2025-2026 Sheep Tracker, 02/07/2026: "1 he new born"</t>
  </si>
  <si>
    <t xml:space="preserve">G354, G355</t>
  </si>
  <si>
    <t xml:space="preserve">Livestock Tracker, 2025 - 2026 Goat Tracker, 04/07/2026: "2 new born"</t>
  </si>
  <si>
    <t xml:space="preserve">Livestock Tracker, 2025 - 2026 Cow Tracker, 16/07/2026: "1 she calf new born"</t>
  </si>
  <si>
    <t xml:space="preserve">Livestock Tracker, 2025-2026 Sheep Tracker, 19/07/2026: "1 He new  born"</t>
  </si>
  <si>
    <t xml:space="preserve">Livestock Tracker, 2025-2026 Sheep Tracker, 21/07/2026: "1 she new born"</t>
  </si>
  <si>
    <t xml:space="preserve">Livestock Tracker, 2025-2026 Sheep Tracker, 30/07/2026: "1 She new born"</t>
  </si>
  <si>
    <t xml:space="preserve">S418, S419</t>
  </si>
  <si>
    <t xml:space="preserve">Livestock Tracker, 2025-2026 Sheep Tracker, 01/08/2026: "1 he new born"</t>
  </si>
  <si>
    <t xml:space="preserve">Livestock Tracker, 2025 - 2026 Goat Tracker, 03/08/2026: "1 she goat new born and 1 she goat died"</t>
  </si>
  <si>
    <t xml:space="preserve">Livestock Tracker, 2025-2026 Sheep Tracker, 03/08/2026: "1 new born she"</t>
  </si>
  <si>
    <t xml:space="preserve">Livestock Tracker, 2025 - 2026 Cow Tracker, 09/08/2026: "1 she calf new born"</t>
  </si>
  <si>
    <t xml:space="preserve">Livestock Tracker, 2025-2026 Sheep Tracker, 13/08/2026: "1 he new born"</t>
  </si>
  <si>
    <t xml:space="preserve">S422, S423</t>
  </si>
  <si>
    <t xml:space="preserve">Livestock Tracker, 2025-2026 Sheep Tracker, 14/08/2026: "2 new born he"</t>
  </si>
  <si>
    <t xml:space="preserve">Livestock Tracker, 2025-2026 Sheep Tracker, 21/08/2026: "1 he new born"</t>
  </si>
  <si>
    <t xml:space="preserve">Livestock Tracker, 2025 - 2026 Goat Tracker, 22/08/2026: "1 she new born"</t>
  </si>
  <si>
    <t xml:space="preserve">Livestock Tracker, 2025 - 2026 Cow Tracker, 24/08/2026: "1 He new born"</t>
  </si>
  <si>
    <t xml:space="preserve">Livestock Tracker, 2025-2026 Sheep Tracker, 02/09/2026: "1 She new born"</t>
  </si>
  <si>
    <t xml:space="preserve">Livestock Tracker, 2025-2026 Sheep Tracker, 04/09/2026: "1 He new born"</t>
  </si>
  <si>
    <t xml:space="preserve">Livestock Tracker, 2025-2026 Sheep Tracker, 10/09/2026: "1 he new born"</t>
  </si>
  <si>
    <t xml:space="preserve">Livestock Tracker, 2025 - 2026 Cow Tracker, 12/09/2026: "1 He new born"</t>
  </si>
  <si>
    <t xml:space="preserve">Age at death (whole years)</t>
  </si>
  <si>
    <t xml:space="preserve">Cause of death</t>
  </si>
  <si>
    <t xml:space="preserve">What the record says</t>
  </si>
  <si>
    <t xml:space="preserve">Not recorded</t>
  </si>
  <si>
    <t xml:space="preserve">1  he died</t>
  </si>
  <si>
    <t xml:space="preserve">Livestock Tracker, 2025 - 2026 Cow Tracker, 08/01/2025: "1  he died"</t>
  </si>
  <si>
    <t xml:space="preserve">Injured by bulls</t>
  </si>
  <si>
    <t xml:space="preserve">1 she died (injured by bull)</t>
  </si>
  <si>
    <t xml:space="preserve">Livestock Tracker, 2025 - 2026 Cow Tracker, 22/02/2025: "1 She died (injured by bull)"</t>
  </si>
  <si>
    <t xml:space="preserve">1 he cow died (injured by bulls)</t>
  </si>
  <si>
    <t xml:space="preserve">Livestock Tracker, 2025 - 2026 Cow Tracker, 10/04/2025: "1 He cow died (Injured by bulls)"</t>
  </si>
  <si>
    <t xml:space="preserve">1 he cow died</t>
  </si>
  <si>
    <t xml:space="preserve">Livestock Tracker, 2025 - 2026 Cow Tracker, 17/05/2025: "1 He cow died"</t>
  </si>
  <si>
    <t xml:space="preserve">Livestock Tracker, 2025 - 2026 Cow Tracker, 19/05/2025: "1 He cow died"</t>
  </si>
  <si>
    <t xml:space="preserve">Livestock Tracker, 2025 - 2026 Cow Tracker, 28/05/2025: "1 He cow died"</t>
  </si>
  <si>
    <t xml:space="preserve">1 she cow died</t>
  </si>
  <si>
    <t xml:space="preserve">Livestock Tracker, 2025 - 2026 Cow Tracker, 02/06/2025: "1 she cow died"</t>
  </si>
  <si>
    <t xml:space="preserve">1 she goat died</t>
  </si>
  <si>
    <t xml:space="preserve">Livestock Tracker, 2025 - 2026 Goat Tracker, 03/06/2025: "1 She goat died"</t>
  </si>
  <si>
    <t xml:space="preserve">1 she died</t>
  </si>
  <si>
    <t xml:space="preserve">Livestock Tracker, 2025-2026 Sheep Tracker, 13/06/2025: "1 She died"</t>
  </si>
  <si>
    <t xml:space="preserve">1 he sheep died</t>
  </si>
  <si>
    <t xml:space="preserve">Livestock Tracker, 2025-2026 Sheep Tracker, 21/06/2025: "1 He sheep died"</t>
  </si>
  <si>
    <t xml:space="preserve">Livestock Tracker, 2025 - 2026 Cow Tracker, 22/06/2025: "1 She cow died"</t>
  </si>
  <si>
    <t xml:space="preserve">1 he died</t>
  </si>
  <si>
    <t xml:space="preserve">Livestock Tracker, 2025 - 2026 Goat Tracker, 22/06/2025: "1 He died"</t>
  </si>
  <si>
    <t xml:space="preserve">1 she kid died</t>
  </si>
  <si>
    <t xml:space="preserve">Livestock Tracker, 2025 - 2026 Goat Tracker, 23/06/2025: "1 She kid died"</t>
  </si>
  <si>
    <t xml:space="preserve">Livestock Tracker, 2025 - 2026 Cow Tracker, 24/06/2025: "1 she cow died"</t>
  </si>
  <si>
    <t xml:space="preserve">Livestock Tracker, 2025 - 2026 Goat Tracker, 07/07/2025: "1 She died"</t>
  </si>
  <si>
    <t xml:space="preserve">1 she sheep died</t>
  </si>
  <si>
    <t xml:space="preserve">Livestock Tracker, 2025-2026 Sheep Tracker, 11/07/2025: "1 she sheep died"</t>
  </si>
  <si>
    <t xml:space="preserve">Livestock Tracker, 2025 - 2026 Cow Tracker, 12/07/2025: "1 she cow died"</t>
  </si>
  <si>
    <t xml:space="preserve">Livestock Tracker, 2025-2026 Sheep Tracker, 15/07/2025: "1 He sheep died"</t>
  </si>
  <si>
    <t xml:space="preserve">Livestock Tracker, 2025 - 2026 Goat Tracker, 30/07/2025: "1 She goat died"</t>
  </si>
  <si>
    <t xml:space="preserve">Livestock Tracker, 2025 - 2026 Goat Tracker, 04/08/2025: "1 she died"</t>
  </si>
  <si>
    <t xml:space="preserve">Livestock Tracker, 2025-2026 Sheep Tracker, 07/08/2025: "1 she died"</t>
  </si>
  <si>
    <t xml:space="preserve">Livestock Tracker, 2025 - 2026 Goat Tracker, 12/08/2025: "1 She died"</t>
  </si>
  <si>
    <t xml:space="preserve">1 he goat died</t>
  </si>
  <si>
    <t xml:space="preserve">1 she calf died</t>
  </si>
  <si>
    <t xml:space="preserve">Livestock Tracker, 2025 - 2026 Cow Tracker, 18/08/2025: "1 She calf died"</t>
  </si>
  <si>
    <t xml:space="preserve">2 he died</t>
  </si>
  <si>
    <t xml:space="preserve">Livestock Tracker, 2025 - 2026 Goat Tracker, 19/08/2025: "2 He died &amp; 1 She"</t>
  </si>
  <si>
    <t xml:space="preserve">Livestock Tracker, 2025-2026 Sheep Tracker, 19/08/2025: "1 she died"</t>
  </si>
  <si>
    <t xml:space="preserve">Livestock Tracker, 2025 - 2026 Cow Tracker, 20/08/2025: "1 She cow died"</t>
  </si>
  <si>
    <t xml:space="preserve">1 he kid died</t>
  </si>
  <si>
    <t xml:space="preserve">Livestock Tracker, 2025 - 2026 Goat Tracker, 28/08/2025: "1 He kid died"</t>
  </si>
  <si>
    <t xml:space="preserve">Livestock Tracker, 2025 - 2026 Goat Tracker, 29/08/2025: "1 She goat died"</t>
  </si>
  <si>
    <t xml:space="preserve">3 she died</t>
  </si>
  <si>
    <t xml:space="preserve">1 he calf died</t>
  </si>
  <si>
    <t xml:space="preserve">Livestock Tracker, 2025 - 2026 Cow Tracker, 04/09/2025: "1 He calf died"</t>
  </si>
  <si>
    <t xml:space="preserve">Livestock Tracker, 2025-2026 Sheep Tracker, 04/09/2025: "1 He sheep died"</t>
  </si>
  <si>
    <t xml:space="preserve">2 he kids died</t>
  </si>
  <si>
    <t xml:space="preserve">Livestock Tracker, 2025-2026 Sheep Tracker, 12/09/2025: "1 she / 2 He kids died"</t>
  </si>
  <si>
    <t xml:space="preserve">Livestock Tracker, 2025 - 2026 Cow Tracker, 13/09/2025: "1 He calf died"</t>
  </si>
  <si>
    <t xml:space="preserve">Livestock Tracker, 2025 - 2026 Goat Tracker, 16/09/2025: "1 He kid died"</t>
  </si>
  <si>
    <t xml:space="preserve">Livestock Tracker, 2025 - 2026 Goat Tracker, 17/09/2025: "1 He kid died"</t>
  </si>
  <si>
    <t xml:space="preserve">Livestock Tracker, 2025 - 2026 Goat Tracker, 18/09/2025: "1 He died"</t>
  </si>
  <si>
    <t xml:space="preserve">Livestock Tracker, 2025-2026 Sheep Tracker, 18/09/2025: "1 She died"</t>
  </si>
  <si>
    <t xml:space="preserve">Livestock Tracker, 2025-2026 Sheep Tracker, 19/09/2025: "1 she died"</t>
  </si>
  <si>
    <t xml:space="preserve">Livestock Tracker, 2025-2026 Sheep Tracker, 21/09/2025: "1 He sheep died"</t>
  </si>
  <si>
    <t xml:space="preserve">Livestock Tracker, 2025-2026 Sheep Tracker, 22/09/2025: "1 she kid died / 1 He sheep died"</t>
  </si>
  <si>
    <t xml:space="preserve">she calf died</t>
  </si>
  <si>
    <t xml:space="preserve">Livestock Tracker, 2025 - 2026 Cow Tracker, 24/09/2025: "She calf died"</t>
  </si>
  <si>
    <t xml:space="preserve">Livestock Tracker, 2025 - 2026 Goat Tracker, 02/10/2025: "1 she kid died"</t>
  </si>
  <si>
    <t xml:space="preserve">she died</t>
  </si>
  <si>
    <t xml:space="preserve">Livestock Tracker, 2025-2026 Sheep Tracker, 04/10/2025: "1 He / She died"</t>
  </si>
  <si>
    <t xml:space="preserve">Livestock Tracker, 2025-2026 Sheep Tracker, 06/10/2025: "1 He sheep died"</t>
  </si>
  <si>
    <t xml:space="preserve">1 he sheep kid died</t>
  </si>
  <si>
    <t xml:space="preserve">Livestock Tracker, 2025-2026 Sheep Tracker, 08/10/2025: "1 He sheep kid died"</t>
  </si>
  <si>
    <t xml:space="preserve">Leg problem</t>
  </si>
  <si>
    <t xml:space="preserve">1 he sheep kid died (legs problem)</t>
  </si>
  <si>
    <t xml:space="preserve">Livestock Tracker, 2025-2026 Sheep Tracker, 13/10/2025: "1 He sheep kid died (legs problem)"</t>
  </si>
  <si>
    <t xml:space="preserve">Livestock Tracker, 2025-2026 Sheep Tracker, 18/10/2025: "1 He sheep Died"</t>
  </si>
  <si>
    <t xml:space="preserve">Livestock Tracker, 2025 - 2026 Goat Tracker, 24/10/2025: "1 He goat died"</t>
  </si>
  <si>
    <t xml:space="preserve">Livestock Tracker, 2025 - 2026 Goat Tracker, 25/10/2025: "1 He goat died"</t>
  </si>
  <si>
    <t xml:space="preserve">Livestock Tracker, 2025-2026 Sheep Tracker, 25/10/2025: "1 He sheep died"</t>
  </si>
  <si>
    <t xml:space="preserve">Livestock Tracker, 2025 - 2026 Goat Tracker, 30/10/2025: "1 He goat died"</t>
  </si>
  <si>
    <t xml:space="preserve">2 she sheep died</t>
  </si>
  <si>
    <t xml:space="preserve">Livestock Tracker, 2025-2026 Sheep Tracker, 30/10/2025: "2 She sheep died"</t>
  </si>
  <si>
    <t xml:space="preserve">Livestock Tracker, 2025 - 2026 Cow Tracker, 31/10/2025: "1 She calf died, 2 She cows sold"</t>
  </si>
  <si>
    <t xml:space="preserve">Livestock Tracker, 2025-2026 Sheep Tracker, 31/10/2025: "1 She sheep died"</t>
  </si>
  <si>
    <t xml:space="preserve">Livestock Tracker, 2025 - 2026 Cow Tracker, 06/11/2025: "1 he calf died"</t>
  </si>
  <si>
    <t xml:space="preserve">1 bull died</t>
  </si>
  <si>
    <t xml:space="preserve">Livestock Tracker, 2025 - 2026 Cow Tracker, 25/11/2025: "1 Bull died"</t>
  </si>
  <si>
    <t xml:space="preserve">Livestock Tracker, 2025 - 2026 Goat Tracker, 26/11/2025: "1 He kid died"</t>
  </si>
  <si>
    <t xml:space="preserve">Livestock Tracker, 2025-2026 Sheep Tracker, 03/12/2025: "1 She sheep died"</t>
  </si>
  <si>
    <t xml:space="preserve">1 she goat kid died</t>
  </si>
  <si>
    <t xml:space="preserve">Livestock Tracker, 2025 - 2026 Goat Tracker, 06/01/2026: "1 she goat kid died"</t>
  </si>
  <si>
    <t xml:space="preserve">Livestock Tracker, 2025 - 2026 Cow Tracker, 15/01/2026: "1 She Calf died"</t>
  </si>
  <si>
    <t xml:space="preserve">Livestock Tracker, 2025-2026 Sheep Tracker, 18/01/2026: "1 She sheep died"</t>
  </si>
  <si>
    <t xml:space="preserve">Killed by hyena</t>
  </si>
  <si>
    <t xml:space="preserve">2 eaten by hyena</t>
  </si>
  <si>
    <t xml:space="preserve">Livestock Tracker, 2025-2026 Sheep Tracker, 24/01/2026: "1 sold / 2 eaten by hyena"</t>
  </si>
  <si>
    <t xml:space="preserve">Livestock Tracker, 2025 - 2026 Goat Tracker, 24/02/2026: "1 He goat died"</t>
  </si>
  <si>
    <t xml:space="preserve">Livestock Tracker, 2025 - 2026 Goat Tracker, 27/02/2026: "1 she goat died"</t>
  </si>
  <si>
    <t xml:space="preserve">Livestock Tracker, 2025 - 2026 Goat Tracker, 03/03/2026: "1 She goat died"</t>
  </si>
  <si>
    <t xml:space="preserve">Pneumonia</t>
  </si>
  <si>
    <t xml:space="preserve">bull died - pneumonia</t>
  </si>
  <si>
    <t xml:space="preserve">Livestock Tracker, 2025 - 2026 Cow Tracker, 21/04/2026: "Bull died - Pneumonia"</t>
  </si>
  <si>
    <t xml:space="preserve">1 he calf 136 died</t>
  </si>
  <si>
    <t xml:space="preserve">Livestock Tracker, 2025 - 2026 Cow Tracker, 25/04/2026: "1 she 002 and 1 He calf 136 died"</t>
  </si>
  <si>
    <t xml:space="preserve">1 she cow died on 27th number 004</t>
  </si>
  <si>
    <t xml:space="preserve">Livestock Tracker, 2025 - 2026 Cow Tracker, 28/04/2026: "1 she cow died on 27th Number 004"</t>
  </si>
  <si>
    <t xml:space="preserve">1 she kid died)</t>
  </si>
  <si>
    <t xml:space="preserve">Livestock Tracker, 2025-2026 Sheep Tracker, 04/05/2026: "transferred 6 He, 4 she (1 he died /1 she kid died)"</t>
  </si>
  <si>
    <t xml:space="preserve">Livestock Tracker, 2025 - 2026 Cow Tracker, 16/05/2026: "1 she cow died on 27th Number 004"</t>
  </si>
  <si>
    <t xml:space="preserve">Livestock Tracker, 2025-2026 Sheep Tracker, 18/05/2026: "1 he kid died"</t>
  </si>
  <si>
    <t xml:space="preserve">1 she sheep bitten by hyena (#170)</t>
  </si>
  <si>
    <t xml:space="preserve">Livestock Tracker, 2025-2026 Sheep Tracker, 27/05/2026: "1 She sheep bitten by Hyena (#170)"</t>
  </si>
  <si>
    <t xml:space="preserve">Livestock Tracker, 2025-2026 Sheep Tracker, 01/06/2026: "1 she sheep died"</t>
  </si>
  <si>
    <t xml:space="preserve">Livestock Tracker, 2025-2026 Sheep Tracker, 10/06/2026: "1 she sheep died"</t>
  </si>
  <si>
    <t xml:space="preserve">Livestock Tracker, 2025 - 2026 Cow Tracker, 17/06/2026: "1 He calf died"</t>
  </si>
  <si>
    <t xml:space="preserve">Livestock Tracker, 2025-2026 Sheep Tracker, 27/06/2026: "1 she died"</t>
  </si>
  <si>
    <t xml:space="preserve">Livestock Tracker, 2025 - 2026 Cow Tracker, 01/07/2026: "1 She Calf died"</t>
  </si>
  <si>
    <t xml:space="preserve">Livestock Tracker, 2025 - 2026 Goat Tracker, 06/07/2026: "1 he kid died"</t>
  </si>
  <si>
    <t xml:space="preserve">Livestock Tracker, 2025-2026 Sheep Tracker, 09/07/2026: "1 he sheep died"</t>
  </si>
  <si>
    <t xml:space="preserve">Lung problem</t>
  </si>
  <si>
    <t xml:space="preserve">Livestock Tracker, 2025 - 2026 Goat Tracker, 10/08/2026: "1 He /1 She died"</t>
  </si>
  <si>
    <t xml:space="preserve">Livestock Tracker, 2025-2026 Sheep Tracker, 11/08/2026: "1 He sheep kid died"</t>
  </si>
  <si>
    <t xml:space="preserve">Born premature (15/8/2026)</t>
  </si>
  <si>
    <t xml:space="preserve">2 dead</t>
  </si>
  <si>
    <t xml:space="preserve">Livestock Tracker, 2025-2026 Sheep Tracker, 16/08/2026: "2 dead"</t>
  </si>
  <si>
    <t xml:space="preserve">Livestock Tracker, 2025-2026 Sheep Tracker, 18/08/2026: "1 he died"</t>
  </si>
  <si>
    <t xml:space="preserve">Livestock Tracker, 2025 - 2026 Goat Tracker, 26/08/2026: "1 she died"</t>
  </si>
  <si>
    <t xml:space="preserve">Livestock Tracker, 2025-2026 Sheep Tracker, 26/08/2026: "1 he died"</t>
  </si>
  <si>
    <t xml:space="preserve">Body weakness</t>
  </si>
  <si>
    <t xml:space="preserve">Livestock Tracker, 2025-2026 Sheep Tracker, 29/08/2026: "1 she sheep died &amp; 1 he kid died"</t>
  </si>
  <si>
    <t xml:space="preserve">Feeding problem</t>
  </si>
  <si>
    <t xml:space="preserve">General weakness (book partly crossed out)</t>
  </si>
  <si>
    <t xml:space="preserve">Livestock Tracker, 2025 - 2026 Goat Tracker, 31/08/2026: "1 she goat died"</t>
  </si>
  <si>
    <t xml:space="preserve">Livestock Tracker, 2025-2026 Sheep Tracker, 05/09/2026: "1 she sold &amp; 1 He died"</t>
  </si>
  <si>
    <t xml:space="preserve">Livestock Tracker, 2025-2026 Sheep Tracker, 09/09/2026: "1 he kid died"</t>
  </si>
  <si>
    <t xml:space="preserve">Livestock Tracker, 2025-2026 Sheep Tracker, 16/09/2026: "1 she kid died"</t>
  </si>
  <si>
    <t xml:space="preserve">What happened</t>
  </si>
  <si>
    <t xml:space="preserve">Amount (KES)</t>
  </si>
  <si>
    <t xml:space="preserve">Buyer / note</t>
  </si>
  <si>
    <t xml:space="preserve">Weight (kg)</t>
  </si>
  <si>
    <t xml:space="preserve">Where the price comes from</t>
  </si>
  <si>
    <t xml:space="preserve">Estimate: average Farmers Choice price for bulls in 2025</t>
  </si>
  <si>
    <t xml:space="preserve">i bull sold</t>
  </si>
  <si>
    <t xml:space="preserve">Livestock Tracker, 2025 - 2026 Cow Tracker, 12/03/2025: "I bull sold"</t>
  </si>
  <si>
    <t xml:space="preserve">Estimate: about 30 kg at KES 350/kg</t>
  </si>
  <si>
    <t xml:space="preserve">2 she sold</t>
  </si>
  <si>
    <t xml:space="preserve">Livestock Tracker, 2025-2026 Sheep Tracker, 11/06/2025: "2 He and 2 She sold"</t>
  </si>
  <si>
    <t xml:space="preserve">Estimate: about 28 kg at KES 350/kg</t>
  </si>
  <si>
    <t xml:space="preserve">Farmers Choice</t>
  </si>
  <si>
    <t xml:space="preserve">2025 Cow Sales Weight sheet</t>
  </si>
  <si>
    <t xml:space="preserve">10 bulls sold</t>
  </si>
  <si>
    <t xml:space="preserve">Livestock Tracker, 2025 - 2026 Cow Tracker, 30/06/2025: "10 Bulls Sold"</t>
  </si>
  <si>
    <t xml:space="preserve">2025 Cow Sales Weight sheet rows 11-12 (KES 310/kg live)</t>
  </si>
  <si>
    <t xml:space="preserve">2 bulls sold</t>
  </si>
  <si>
    <t xml:space="preserve">Livestock Tracker, 2025 - 2026 Cow Tracker, 12/08/2025: "2 Bulls Sold"</t>
  </si>
  <si>
    <t xml:space="preserve">Count went down with no explanation</t>
  </si>
  <si>
    <t xml:space="preserve">Livestock Tracker, 2025 - 2026 Goat Tracker, 13/08/2025</t>
  </si>
  <si>
    <t xml:space="preserve">1 he sheep sold</t>
  </si>
  <si>
    <t xml:space="preserve">Livestock Tracker, 2025-2026 Sheep Tracker, 28/08/2025: "1 He sheep sold"</t>
  </si>
  <si>
    <t xml:space="preserve">No explanation</t>
  </si>
  <si>
    <t xml:space="preserve">Livestock Tracker, 2025 - 2026 Goat Tracker, 31/08/2025: "No explanation"</t>
  </si>
  <si>
    <t xml:space="preserve">Estimate: about 30 kg at KES 350/kg (the farm's 2026 rate)</t>
  </si>
  <si>
    <t xml:space="preserve">1 he goat sold</t>
  </si>
  <si>
    <t xml:space="preserve">Livestock Tracker, 2025 - 2026 Goat Tracker, 01/09/2025: "1 He goat sold"</t>
  </si>
  <si>
    <t xml:space="preserve">Livestock Tracker, 2025 - 2026 Goat Tracker, 05/09/2025: "No explanation"</t>
  </si>
  <si>
    <t xml:space="preserve">Estimate: cull cow</t>
  </si>
  <si>
    <t xml:space="preserve">2 she cows sold</t>
  </si>
  <si>
    <t xml:space="preserve">Livestock Tracker, 2025 - 2026 Cow Tracker, 04/10/2025: "2 She cows sold"</t>
  </si>
  <si>
    <t xml:space="preserve">1 he bull sold</t>
  </si>
  <si>
    <t xml:space="preserve">Livestock Tracker, 2025 - 2026 Cow Tracker, 11/10/2025: "1 He bull sold"</t>
  </si>
  <si>
    <t xml:space="preserve">Livestock Tracker, 2025 - 2026 Cow Tracker, 14/10/2025: "1 He bull sold"</t>
  </si>
  <si>
    <t xml:space="preserve">Livestock Tracker, 2025 - 2026 Cow Tracker, 15/10/2025: "2 Bulls Sold"</t>
  </si>
  <si>
    <t xml:space="preserve">1 bul sold</t>
  </si>
  <si>
    <t xml:space="preserve">Livestock Tracker, 2025 - 2026 Cow Tracker, 16/10/2025: "1 Bul Sold"</t>
  </si>
  <si>
    <t xml:space="preserve">3 bulls sold</t>
  </si>
  <si>
    <t xml:space="preserve">Livestock Tracker, 2025 - 2026 Cow Tracker, 17/10/2025: "3 Bulls sold"</t>
  </si>
  <si>
    <t xml:space="preserve">Livestock Tracker, 2025 - 2026 Cow Tracker, 24/10/2025: "2 Bulls Sold"</t>
  </si>
  <si>
    <t xml:space="preserve">1 bull sold</t>
  </si>
  <si>
    <t xml:space="preserve">Livestock Tracker, 2025 - 2026 Cow Tracker, 28/10/2025: "2 She cows sold"</t>
  </si>
  <si>
    <t xml:space="preserve">1 he goat given to chief</t>
  </si>
  <si>
    <t xml:space="preserve">Livestock Tracker, 2025 - 2026 Goat Tracker, 28/10/2025: "1 He goat given to chief"</t>
  </si>
  <si>
    <t xml:space="preserve">2 she cows sold (old)</t>
  </si>
  <si>
    <t xml:space="preserve">Livestock Tracker, 2025 - 2026 Cow Tracker, 30/10/2025: "2 She cows sold (Old)"</t>
  </si>
  <si>
    <t xml:space="preserve">Counting correction (overall animals - sheep and goats are 233. With the correct tally for sheep then the goats should be 98</t>
  </si>
  <si>
    <t xml:space="preserve">Livestock Tracker, 2025 - 2026 Goat Tracker, 12/11/2025: "Counting correction (overall animals - sheep and goats are 233. With the correct tally for sheep then the goats should be 98"</t>
  </si>
  <si>
    <t xml:space="preserve">1 she sold</t>
  </si>
  <si>
    <t xml:space="preserve">Livestock Tracker, 2025 - 2026 Goat Tracker, 16/12/2025: "1 She sold"</t>
  </si>
  <si>
    <t xml:space="preserve">Livestock Tracker, 2025-2026 Sheep Tracker, 16/12/2025: "1 He / 2 She sold"</t>
  </si>
  <si>
    <t xml:space="preserve">5 he sold</t>
  </si>
  <si>
    <t xml:space="preserve">Livestock Tracker, 2025 - 2026 Goat Tracker, 17/12/2025: "5 He sold"</t>
  </si>
  <si>
    <t xml:space="preserve">Livestock Tracker, 2025-2026 Sheep Tracker, 17/12/2025: "1 He Sheep sold"</t>
  </si>
  <si>
    <t xml:space="preserve">Livestock Tracker, 2025 - 2026 Goat Tracker, 18/12/2025: "1 She sold"</t>
  </si>
  <si>
    <t xml:space="preserve">Livestock Tracker, 2025-2026 Sheep Tracker, 18/12/2025: "2 He / 1 she sold"</t>
  </si>
  <si>
    <t xml:space="preserve">1 he sold</t>
  </si>
  <si>
    <t xml:space="preserve">Livestock Tracker, 2025 - 2026 Goat Tracker, 19/12/2025: "1 He sold"</t>
  </si>
  <si>
    <t xml:space="preserve">Livestock Tracker, 2025 - 2026 Goat Tracker, 22/12/2025: "1 She sold"</t>
  </si>
  <si>
    <t xml:space="preserve">2 he sold</t>
  </si>
  <si>
    <t xml:space="preserve">Livestock Tracker, 2025-2026 Sheep Tracker, 22/12/2025: "2 He sold"</t>
  </si>
  <si>
    <t xml:space="preserve">Livestock Tracker, 2025 - 2026 Goat Tracker, 23/12/2025: "1 He sold, 2 she sold, 1 He given for christmas lunch"</t>
  </si>
  <si>
    <t xml:space="preserve">1 he given for christmas lunch</t>
  </si>
  <si>
    <t xml:space="preserve">Livestock Tracker, 2025-2026 Sheep Tracker, 23/12/2025: "2 He sold, 1 He christmas lunch"</t>
  </si>
  <si>
    <t xml:space="preserve">1 he christmas lunch</t>
  </si>
  <si>
    <t xml:space="preserve">Livestock Tracker, 2025 - 2026 Goat Tracker, 24/12/2025: "2 He sold, 1 He sold"</t>
  </si>
  <si>
    <t xml:space="preserve">Livestock Tracker, 2025-2026 Sheep Tracker, 24/12/2025: "2 He sold"</t>
  </si>
  <si>
    <t xml:space="preserve">Livestock Tracker, 2025-2026 Sheep Tracker, 27/12/2025: "1 He / 1 She sold"</t>
  </si>
  <si>
    <t xml:space="preserve">Livestock Tracker, 2025-2026 Sheep Tracker, 28/12/2025: "1 He sold"</t>
  </si>
  <si>
    <t xml:space="preserve">1 she goat sold</t>
  </si>
  <si>
    <t xml:space="preserve">Livestock Tracker, 2025 - 2026 Goat Tracker, 29/12/2025: "1 She goat sold"</t>
  </si>
  <si>
    <t xml:space="preserve">Livestock Tracker, 2025-2026 Sheep Tracker, 30/12/2025: "1 He sold"</t>
  </si>
  <si>
    <t xml:space="preserve">Livestock Tracker, 2025 - 2026 Goat Tracker, 31/12/2025: "1 He goat sold"</t>
  </si>
  <si>
    <t xml:space="preserve">1 sold</t>
  </si>
  <si>
    <t xml:space="preserve">1 she cow sold (sick)</t>
  </si>
  <si>
    <t xml:space="preserve">Livestock Tracker, 2025 - 2026 Cow Tracker, 29/01/2026: "1 She cow sold (Sick)"</t>
  </si>
  <si>
    <t xml:space="preserve">1 goat sold</t>
  </si>
  <si>
    <t xml:space="preserve">Livestock Tracker, 2025 - 2026 Goat Tracker, 11/02/2026: "1 goat sold"</t>
  </si>
  <si>
    <t xml:space="preserve">Correction to numbers</t>
  </si>
  <si>
    <t xml:space="preserve">Livestock Tracker, 2025 - 2026 Goat Tracker, 12/02/2026: "Correction to numbers"</t>
  </si>
  <si>
    <t xml:space="preserve">1 he (120) sold</t>
  </si>
  <si>
    <t xml:space="preserve">Livestock Tracker, 2025 - 2026 Cow Tracker, 18/03/2026: "1 He (No 55) and 1 He (120) sold"</t>
  </si>
  <si>
    <t xml:space="preserve">1 bull given (exchanged)</t>
  </si>
  <si>
    <t xml:space="preserve">Livestock Tracker, 2025 - 2026 Cow Tracker, 25/03/2026: "1 Bull given (exchanged)"</t>
  </si>
  <si>
    <t xml:space="preserve">Livestock Tracker, 2025 - 2026 Cow Tracker, 28/03/2026: "3 Bulls sold"</t>
  </si>
  <si>
    <t xml:space="preserve">1 bull sold (no 121)</t>
  </si>
  <si>
    <t xml:space="preserve">Livestock Tracker, 2025 - 2026 Cow Tracker, 30/03/2026: "1 Bull sold (No 121)"</t>
  </si>
  <si>
    <t xml:space="preserve">2 bulls sold (no 106</t>
  </si>
  <si>
    <t xml:space="preserve">Livestock Tracker, 2025 - 2026 Cow Tracker, 31/03/2026: "2 Bulls sold (No 106 &amp; ??)"</t>
  </si>
  <si>
    <t xml:space="preserve">1 bull sold (no 103)</t>
  </si>
  <si>
    <t xml:space="preserve">Livestock Tracker, 2025 - 2026 Cow Tracker, 01/04/2026: "1 Bull sold (No 103)"</t>
  </si>
  <si>
    <t xml:space="preserve">1 dorpper sold</t>
  </si>
  <si>
    <t xml:space="preserve">Livestock Tracker, 2025-2026 Sheep Tracker, 04/04/2026: "1 Dorpper sold"</t>
  </si>
  <si>
    <t xml:space="preserve">1 he dorper sold - (007)</t>
  </si>
  <si>
    <t xml:space="preserve">Livestock Tracker, 2025-2026 Sheep Tracker, 17/04/2026: "1 He dorper sold - (007)"</t>
  </si>
  <si>
    <t xml:space="preserve">1 she goat lost</t>
  </si>
  <si>
    <t xml:space="preserve">Livestock Tracker, 2025 - 2026 Goat Tracker, 24/04/2026: "1 she goat lost"</t>
  </si>
  <si>
    <t xml:space="preserve">1 he goat sold - no 008</t>
  </si>
  <si>
    <t xml:space="preserve">Livestock Tracker, 2025 - 2026 Goat Tracker, 25/04/2026: "1 he goat sold - No 008"</t>
  </si>
  <si>
    <t xml:space="preserve">4 sheep sold</t>
  </si>
  <si>
    <t xml:space="preserve">1 he sheep sold #11</t>
  </si>
  <si>
    <t xml:space="preserve">Livestock Tracker, 2025-2026 Sheep Tracker, 22/05/2026: "1 He sheep sold #11"</t>
  </si>
  <si>
    <t xml:space="preserve">Livestock Tracker, 2025 - 2026 Cow Tracker, 26/05/2026</t>
  </si>
  <si>
    <t xml:space="preserve">Livestock Tracker, 2025-2026 Sheep Tracker, 28/05/2026: "1 He sheep sold"</t>
  </si>
  <si>
    <t xml:space="preserve">3 she sheep sold</t>
  </si>
  <si>
    <t xml:space="preserve">Livestock Tracker, 2025-2026 Sheep Tracker, 29/05/2026: "3 She sheep sold"</t>
  </si>
  <si>
    <t xml:space="preserve">Livestock Tracker, 2025 - 2026 Cow Tracker, 12/06/2026: "2 she cows sold"</t>
  </si>
  <si>
    <t xml:space="preserve">Livestock Tracker, 2025 - 2026 Cow Tracker, 19/06/2026: "1 Bull sold"</t>
  </si>
  <si>
    <t xml:space="preserve">2 he goat sold no 20</t>
  </si>
  <si>
    <t xml:space="preserve">Livestock Tracker, 2025 - 2026 Goat Tracker, 11/07/2026: "2 He goat sold No 20 &amp; 22"</t>
  </si>
  <si>
    <t xml:space="preserve">Paid by M-Pesa</t>
  </si>
  <si>
    <t xml:space="preserve">Daily Activity Tracker, Sales</t>
  </si>
  <si>
    <t xml:space="preserve">Livestock Tracker, 2025-2026 Sheep Tracker, 14/07/2026: "1 He sheep sold"</t>
  </si>
  <si>
    <t xml:space="preserve">Daily Activity Tracker, Sales: 7 he-goats, 178 kg, KES 62,300 (shared equally)</t>
  </si>
  <si>
    <t xml:space="preserve">7 goat sold</t>
  </si>
  <si>
    <t xml:space="preserve">Livestock Tracker, 2025 - 2026 Goat Tracker, 18/08/2026: "7 goat sold"</t>
  </si>
  <si>
    <t xml:space="preserve">Correction</t>
  </si>
  <si>
    <t xml:space="preserve">Livestock Tracker, 2025-2026 Sheep Tracker, 27/08/2026: "Correction"</t>
  </si>
  <si>
    <t xml:space="preserve">Total sales (KES)</t>
  </si>
  <si>
    <t xml:space="preserve">of which real prices</t>
  </si>
  <si>
    <t xml:space="preserve">Record type</t>
  </si>
  <si>
    <t xml:space="preserve">Illness / problem</t>
  </si>
  <si>
    <t xml:space="preserve">Temperature (°C)</t>
  </si>
  <si>
    <t xml:space="preserve">Medicine</t>
  </si>
  <si>
    <t xml:space="preserve">Dose</t>
  </si>
  <si>
    <t xml:space="preserve">TREATMENT</t>
  </si>
  <si>
    <t xml:space="preserve">Ivermectin + Oxytetracycline 10% LA</t>
  </si>
  <si>
    <t xml:space="preserve">10 ml + 20 ml</t>
  </si>
  <si>
    <t xml:space="preserve">Treated the new bull on arrival</t>
  </si>
  <si>
    <t xml:space="preserve">Medicine Log</t>
  </si>
  <si>
    <t xml:space="preserve">ILLNESS</t>
  </si>
  <si>
    <t xml:space="preserve">East Coast Fever (treated with Bupalex)</t>
  </si>
  <si>
    <t xml:space="preserve">Bupalex + Oxytetracycline 10% LA</t>
  </si>
  <si>
    <t xml:space="preserve">10 ml + 10 ml</t>
  </si>
  <si>
    <t xml:space="preserve">Sick calf</t>
  </si>
  <si>
    <t xml:space="preserve">Sick (not stated)</t>
  </si>
  <si>
    <t xml:space="preserve">Oxytetracycline 10% LA</t>
  </si>
  <si>
    <t xml:space="preserve">4 ml</t>
  </si>
  <si>
    <t xml:space="preserve">Sheep number unreadable on the card</t>
  </si>
  <si>
    <t xml:space="preserve">Foot and Mouth Disease</t>
  </si>
  <si>
    <t xml:space="preserve">20 ml</t>
  </si>
  <si>
    <t xml:space="preserve">Repeat treatment</t>
  </si>
  <si>
    <t xml:space="preserve">East Coast Fever</t>
  </si>
  <si>
    <t xml:space="preserve">Bupalex</t>
  </si>
  <si>
    <t xml:space="preserve">10 ml</t>
  </si>
  <si>
    <t xml:space="preserve">20 ml + 15 ml</t>
  </si>
  <si>
    <t xml:space="preserve">Card says 'repeated'; the first treatment isn't on the cards</t>
  </si>
  <si>
    <t xml:space="preserve">10 ml + 15 ml</t>
  </si>
  <si>
    <t xml:space="preserve">High fever (cause not stated)</t>
  </si>
  <si>
    <t xml:space="preserve">15 ml</t>
  </si>
  <si>
    <t xml:space="preserve">5 ml</t>
  </si>
  <si>
    <t xml:space="preserve">Orf</t>
  </si>
  <si>
    <t xml:space="preserve">Washed with Magadi salt</t>
  </si>
  <si>
    <t xml:space="preserve">0.5 kg shared by 25 goats</t>
  </si>
  <si>
    <t xml:space="preserve">One of 25 goats with Orf</t>
  </si>
  <si>
    <t xml:space="preserve">Repeat washing</t>
  </si>
  <si>
    <t xml:space="preserve">Vulva infection</t>
  </si>
  <si>
    <t xml:space="preserve">Methoxicash</t>
  </si>
  <si>
    <t xml:space="preserve">25 ml</t>
  </si>
  <si>
    <t xml:space="preserve">One of 2 goats (card: 'off vulvas')</t>
  </si>
  <si>
    <t xml:space="preserve">Paralysed legs</t>
  </si>
  <si>
    <t xml:space="preserve">2 ml</t>
  </si>
  <si>
    <t xml:space="preserve">High temperature (cause not stated)</t>
  </si>
  <si>
    <t xml:space="preserve">Bupacin</t>
  </si>
  <si>
    <t xml:space="preserve">Card reading uncertain</t>
  </si>
  <si>
    <t xml:space="preserve">East Coast Fever (?)</t>
  </si>
  <si>
    <t xml:space="preserve">S-Dime tablets</t>
  </si>
  <si>
    <t xml:space="preserve">2 tabs</t>
  </si>
  <si>
    <t xml:space="preserve">Dropsy (?)</t>
  </si>
  <si>
    <t xml:space="preserve">S-Dime liquid</t>
  </si>
  <si>
    <t xml:space="preserve">Scouring (diarrhoea)</t>
  </si>
  <si>
    <t xml:space="preserve">Signed by Julie, 3/7</t>
  </si>
  <si>
    <t xml:space="preserve">Uterus problem after kidding (?)</t>
  </si>
  <si>
    <t xml:space="preserve">Card reads 'evacuated uterus'</t>
  </si>
  <si>
    <t xml:space="preserve">Cow number uncertain on the card (17?)</t>
  </si>
  <si>
    <t xml:space="preserve">Bruises (injury)</t>
  </si>
  <si>
    <t xml:space="preserve">Copper sulphate wash</t>
  </si>
  <si>
    <t xml:space="preserve">25 g</t>
  </si>
  <si>
    <t xml:space="preserve">Daily Activity Tracker</t>
  </si>
  <si>
    <t xml:space="preserve">Histacure + Tetracycline + Nilzan</t>
  </si>
  <si>
    <t xml:space="preserve">20 ml + 5 ml + 5 ml</t>
  </si>
  <si>
    <t xml:space="preserve">Oxytetracycline + 'Dahist'</t>
  </si>
  <si>
    <t xml:space="preserve">4 ml + 4 ml</t>
  </si>
  <si>
    <t xml:space="preserve">'Dahist' name unclear in the book</t>
  </si>
  <si>
    <t xml:space="preserve">East Coast Fever (treated with Buparvet)</t>
  </si>
  <si>
    <t xml:space="preserve">Buparvet + Dexa + Alamycin 30%</t>
  </si>
  <si>
    <t xml:space="preserve">10 ml + 10 ml + 10 ml</t>
  </si>
  <si>
    <t xml:space="preserve">High temperature</t>
  </si>
  <si>
    <t xml:space="preserve">Alamycin 30% + Buparvet</t>
  </si>
  <si>
    <t xml:space="preserve">Alamycin 30% + Booster</t>
  </si>
  <si>
    <t xml:space="preserve">3 ml + 4 ml</t>
  </si>
  <si>
    <t xml:space="preserve">Book says 'sick goat'; taken to be goat 118 (treated 29/6)</t>
  </si>
  <si>
    <t xml:space="preserve">Anaplasmosis</t>
  </si>
  <si>
    <t xml:space="preserve">Histacure + Alamycin + Booster + Stop Bloat</t>
  </si>
  <si>
    <t xml:space="preserve">5 ml + 10 ml + 10 ml + 20 ml</t>
  </si>
  <si>
    <t xml:space="preserve">Ivermectin + Booster</t>
  </si>
  <si>
    <t xml:space="preserve">10 ml + 8 (unit unclear)</t>
  </si>
  <si>
    <t xml:space="preserve">Eye problem</t>
  </si>
  <si>
    <t xml:space="preserve">Dipen + Terramycin (?)</t>
  </si>
  <si>
    <t xml:space="preserve">2 ml + 3 ml</t>
  </si>
  <si>
    <t xml:space="preserve">10 ml + 15 ml + 10 ml</t>
  </si>
  <si>
    <t xml:space="preserve">Alamycin + Buparvet + Dexa</t>
  </si>
  <si>
    <t xml:space="preserve">7 ml + 10 ml + 10 ml</t>
  </si>
  <si>
    <t xml:space="preserve">Lung problem (breathing heavily)</t>
  </si>
  <si>
    <t xml:space="preserve">CHECKUP</t>
  </si>
  <si>
    <t xml:space="preserve">Lamb 'Aga' (born 3/8/2026) not feeding well</t>
  </si>
  <si>
    <t xml:space="preserve">Buparvet + Alamycin</t>
  </si>
  <si>
    <t xml:space="preserve">10 ml + 7 ml</t>
  </si>
  <si>
    <t xml:space="preserve">Book calls it 'calf/cow'; taken to be the same he-cow</t>
  </si>
  <si>
    <t xml:space="preserve">3 tabs</t>
  </si>
  <si>
    <t xml:space="preserve">1 tab</t>
  </si>
  <si>
    <t xml:space="preserve">One of two sick calves</t>
  </si>
  <si>
    <t xml:space="preserve">Oxytetracycline + Dexa + Calfoset + Calcium</t>
  </si>
  <si>
    <t xml:space="preserve">2 + 2 + 5 + 5 ml</t>
  </si>
  <si>
    <t xml:space="preserve">One of two sick sheep (doses shared)</t>
  </si>
  <si>
    <t xml:space="preserve">General body weakness</t>
  </si>
  <si>
    <t xml:space="preserve">Calfoset</t>
  </si>
  <si>
    <t xml:space="preserve">Calfoset + Calcium</t>
  </si>
  <si>
    <t xml:space="preserve">4 ml + 10 ml</t>
  </si>
  <si>
    <t xml:space="preserve">Book unclear whether this was a calf or a sheep</t>
  </si>
  <si>
    <t xml:space="preserve">Calfoset + Calcium (oral)</t>
  </si>
  <si>
    <t xml:space="preserve">Activity</t>
  </si>
  <si>
    <t xml:space="preserve">Product</t>
  </si>
  <si>
    <t xml:space="preserve">Amount</t>
  </si>
  <si>
    <t xml:space="preserve">Animals</t>
  </si>
  <si>
    <t xml:space="preserve">Group treatment (vet)</t>
  </si>
  <si>
    <t xml:space="preserve">Ivermectin injection</t>
  </si>
  <si>
    <t xml:space="preserve">690 ml</t>
  </si>
  <si>
    <t xml:space="preserve">Whole herd</t>
  </si>
  <si>
    <t xml:space="preserve">Bulk herd dose by Vet Naftali</t>
  </si>
  <si>
    <t xml:space="preserve">Medicine Log, Ivermectin card</t>
  </si>
  <si>
    <t xml:space="preserve">1,900 ml</t>
  </si>
  <si>
    <t xml:space="preserve">Herd treatment by Vet Naftali</t>
  </si>
  <si>
    <t xml:space="preserve">Medicine Log, Oxytetracycline card</t>
  </si>
  <si>
    <t xml:space="preserve">Not stated</t>
  </si>
  <si>
    <t xml:space="preserve">Group treatment</t>
  </si>
  <si>
    <t xml:space="preserve">'Antiprotozoan control'</t>
  </si>
  <si>
    <t xml:space="preserve">Goat kids</t>
  </si>
  <si>
    <t xml:space="preserve">Given to goat kids</t>
  </si>
  <si>
    <t xml:space="preserve">Medicine Log, S-Dime Liquid card</t>
  </si>
  <si>
    <t xml:space="preserve">Tick spraying</t>
  </si>
  <si>
    <t xml:space="preserve">Spray (product not written)</t>
  </si>
  <si>
    <t xml:space="preserve">100 ml</t>
  </si>
  <si>
    <t xml:space="preserve">Herd</t>
  </si>
  <si>
    <t xml:space="preserve">Deworming</t>
  </si>
  <si>
    <t xml:space="preserve">Nilzan</t>
  </si>
  <si>
    <t xml:space="preserve">287 ml</t>
  </si>
  <si>
    <t xml:space="preserve">26 goats + 27 kids</t>
  </si>
  <si>
    <t xml:space="preserve">10 ml per goat, 1 ml per kid</t>
  </si>
  <si>
    <t xml:space="preserve">Tetracycline</t>
  </si>
  <si>
    <t xml:space="preserve">78 ml</t>
  </si>
  <si>
    <t xml:space="preserve">26 goats</t>
  </si>
  <si>
    <t xml:space="preserve">3 ml per goat</t>
  </si>
  <si>
    <t xml:space="preserve">Sheep, goats, calves</t>
  </si>
  <si>
    <t xml:space="preserve">Supplement</t>
  </si>
  <si>
    <t xml:space="preserve">Magnesium lick salt</t>
  </si>
  <si>
    <t xml:space="preserve">7 kg</t>
  </si>
  <si>
    <t xml:space="preserve">300 ml</t>
  </si>
  <si>
    <t xml:space="preserve">Dipping</t>
  </si>
  <si>
    <t xml:space="preserve">Not written</t>
  </si>
  <si>
    <t xml:space="preserve">Goats and sheep dipped</t>
  </si>
  <si>
    <t xml:space="preserve">Daily Activity Tracker (20/7 note)</t>
  </si>
  <si>
    <t xml:space="preserve">Flock</t>
  </si>
  <si>
    <t xml:space="preserve">Dominex</t>
  </si>
  <si>
    <t xml:space="preserve">Albendex 25</t>
  </si>
  <si>
    <t xml:space="preserve">1,500 ml</t>
  </si>
  <si>
    <t xml:space="preserve">All sheep</t>
  </si>
  <si>
    <t xml:space="preserve">500 ml</t>
  </si>
  <si>
    <t xml:space="preserve">92 goats</t>
  </si>
  <si>
    <t xml:space="preserve">150 ml</t>
  </si>
  <si>
    <t xml:space="preserve">Daily Activity Tracker, Inputs Applied</t>
  </si>
  <si>
    <t xml:space="preserve">200 ml</t>
  </si>
  <si>
    <t xml:space="preserve">Deworming (injection)</t>
  </si>
  <si>
    <t xml:space="preserve">Ivermectin</t>
  </si>
  <si>
    <t xml:space="preserve">100 sheep</t>
  </si>
  <si>
    <t xml:space="preserve">Internal and external parasites</t>
  </si>
  <si>
    <t xml:space="preserve">Oxytetracycline + Multi-Vit</t>
  </si>
  <si>
    <t xml:space="preserve">423 ml + 400 ml</t>
  </si>
  <si>
    <t xml:space="preserve">Whole flock</t>
  </si>
  <si>
    <t xml:space="preserve">The Dominex card also shows about 90 sprays from May to August 2026 (cattle about 300 ml, goats and sheep about 100 ml, every 2-3 days), but they weren't typed out one by one, so only the dated ones are listed here.</t>
  </si>
  <si>
    <t xml:space="preserve">Note</t>
  </si>
  <si>
    <t xml:space="preserve">Weight at sale</t>
  </si>
  <si>
    <t xml:space="preserve">Opening stock</t>
  </si>
  <si>
    <t xml:space="preserve">Latest balance</t>
  </si>
  <si>
    <t xml:space="preserve">Dates on the card</t>
  </si>
  <si>
    <t xml:space="preserve">Note from the digitised log</t>
  </si>
  <si>
    <t xml:space="preserve">Opening Stock</t>
  </si>
  <si>
    <t xml:space="preserve">Latest Balance</t>
  </si>
  <si>
    <t xml:space="preserve">Date Range</t>
  </si>
  <si>
    <t xml:space="preserve">Bupalex (Buparvaquone) - ECF</t>
  </si>
  <si>
    <t xml:space="preserve">200 mls</t>
  </si>
  <si>
    <t xml:space="preserve">40 mls (as of 29/6/2026); NIL per 13/8/2026 count - unreconciled</t>
  </si>
  <si>
    <t xml:space="preserve">25/3/2026 - 13/8/2026</t>
  </si>
  <si>
    <t xml:space="preserve">Unchanged this update</t>
  </si>
  <si>
    <t xml:space="preserve">Ivermectin Injection</t>
  </si>
  <si>
    <t xml:space="preserve">700 mls</t>
  </si>
  <si>
    <t xml:space="preserve">0 mls</t>
  </si>
  <si>
    <t xml:space="preserve">17/3/2026 - 13/8/2026</t>
  </si>
  <si>
    <t xml:space="preserve">3,000 mls</t>
  </si>
  <si>
    <t xml:space="preserve">844 mls (4/6/2026); likely continues to ~630-650mls by Sept - see sheet note</t>
  </si>
  <si>
    <t xml:space="preserve">17/3/2026 - 4/6/2026 (+ unconfirmed continuation)</t>
  </si>
  <si>
    <t xml:space="preserve">Continuation page found but not re-sequenced - verify</t>
  </si>
  <si>
    <t xml:space="preserve">1,700 mls</t>
  </si>
  <si>
    <t xml:space="preserve">13/8/2026 (single stock count)</t>
  </si>
  <si>
    <t xml:space="preserve">Unchanged - no new data found</t>
  </si>
  <si>
    <t xml:space="preserve">Penstrep</t>
  </si>
  <si>
    <t xml:space="preserve">~90 mls (approx)</t>
  </si>
  <si>
    <t xml:space="preserve">~55 mls (approx)</t>
  </si>
  <si>
    <t xml:space="preserve">Card dates not individually transcribed</t>
  </si>
  <si>
    <t xml:space="preserve">Partially updated - opening/closing only, verify</t>
  </si>
  <si>
    <t xml:space="preserve">Dexa (Dexamethasone Injection 0.2g)</t>
  </si>
  <si>
    <t xml:space="preserve">2,400 mls received / 200 mls opening</t>
  </si>
  <si>
    <t xml:space="preserve">119 mls</t>
  </si>
  <si>
    <t xml:space="preserve">17/3/2026 - 27/8/2026</t>
  </si>
  <si>
    <t xml:space="preserve">Fully updated with new card</t>
  </si>
  <si>
    <t xml:space="preserve">Magadi Salt</t>
  </si>
  <si>
    <t xml:space="preserve">~14.5 kg (approx)</t>
  </si>
  <si>
    <t xml:space="preserve">Nil (as of 18/5/2026)</t>
  </si>
  <si>
    <t xml:space="preserve">14/5/2026 - 6/7/2026</t>
  </si>
  <si>
    <t xml:space="preserve">New sheet - confirmed distinct product from Mack Lick Salt</t>
  </si>
  <si>
    <t xml:space="preserve">Mack Lick Salt</t>
  </si>
  <si>
    <t xml:space="preserve">0</t>
  </si>
  <si>
    <t xml:space="preserve">Restored 2026-08-30 - separate product from Magadi Salt, was briefly (incorrectly) merged</t>
  </si>
  <si>
    <t xml:space="preserve">Nutri-Vit</t>
  </si>
  <si>
    <t xml:space="preserve">Alamycin 30% (name uncertain)</t>
  </si>
  <si>
    <t xml:space="preserve">26 mls</t>
  </si>
  <si>
    <t xml:space="preserve">Histacine</t>
  </si>
  <si>
    <t xml:space="preserve">50 mls received / 33 mls opening</t>
  </si>
  <si>
    <t xml:space="preserve">5 mls</t>
  </si>
  <si>
    <t xml:space="preserve">6/5/2026 - 1/8/2026</t>
  </si>
  <si>
    <t xml:space="preserve">Renamed from 'Histerodine(?)'; updated with new card</t>
  </si>
  <si>
    <t xml:space="preserve">S-Dime Tabs</t>
  </si>
  <si>
    <t xml:space="preserve">10 tabs</t>
  </si>
  <si>
    <t xml:space="preserve">23/6/2026 - 2/9/2026</t>
  </si>
  <si>
    <t xml:space="preserve">Renamed from 'S-Pine Tabs'; updated with new card</t>
  </si>
  <si>
    <t xml:space="preserve">Dip Dominex (spray)</t>
  </si>
  <si>
    <t xml:space="preserve">~168 mls (approx, 18/8/2026)</t>
  </si>
  <si>
    <t xml:space="preserve">~May 2026 - 18/8/2026</t>
  </si>
  <si>
    <t xml:space="preserve">Unit corrected from LT to mls; summarized (~90 entries, not itemized)</t>
  </si>
  <si>
    <t xml:space="preserve">100 mls</t>
  </si>
  <si>
    <t xml:space="preserve">Nil</t>
  </si>
  <si>
    <t xml:space="preserve">14/5/2026 - 19/5/2026</t>
  </si>
  <si>
    <t xml:space="preserve">New sheet</t>
  </si>
  <si>
    <t xml:space="preserve">S-Dime Liquid</t>
  </si>
  <si>
    <t xml:space="preserve">375 mls (3 x 125mls)</t>
  </si>
  <si>
    <t xml:space="preserve">343 mls</t>
  </si>
  <si>
    <t xml:space="preserve">26/6/2026 - 8/7/2026</t>
  </si>
  <si>
    <t xml:space="preserve">~40 mls (approx)</t>
  </si>
  <si>
    <t xml:space="preserve">~635 mls (approx, 27/8/2026)</t>
  </si>
  <si>
    <t xml:space="preserve">23/6/2026 - 27/8/2026</t>
  </si>
  <si>
    <t xml:space="preserve">New sheet - partially itemized, mostly summarized</t>
  </si>
  <si>
    <t xml:space="preserve">Ecocan 20% LA</t>
  </si>
  <si>
    <t xml:space="preserve">85 mls (opening)</t>
  </si>
  <si>
    <t xml:space="preserve">79 mls</t>
  </si>
  <si>
    <t xml:space="preserve">5/6/2026 - 19/6/2026</t>
  </si>
  <si>
    <t xml:space="preserve">New sheet - distinct product from Oxytetracycline 10% LA</t>
  </si>
  <si>
    <t xml:space="preserve">Alcurmix (name uncertain)</t>
  </si>
  <si>
    <t xml:space="preserve">330 mls (date uncertain)</t>
  </si>
  <si>
    <t xml:space="preserve">~2,680 mls (approx)</t>
  </si>
  <si>
    <t xml:space="preserve">Date range uncertain</t>
  </si>
  <si>
    <t xml:space="preserve">New sheet - low confidence, only 2 rows legible</t>
  </si>
  <si>
    <t xml:space="preserve">Dewormer (product name unclear)</t>
  </si>
  <si>
    <t xml:space="preserve">n/a</t>
  </si>
  <si>
    <t xml:space="preserve">Undated</t>
  </si>
  <si>
    <t xml:space="preserve">New sheet - narrative-only, no dates/quantities legible</t>
  </si>
  <si>
    <t xml:space="preserve">Every line on the medicine cards</t>
  </si>
  <si>
    <t xml:space="preserve">Medicine card</t>
  </si>
  <si>
    <t xml:space="preserve">Received</t>
  </si>
  <si>
    <t xml:space="preserve">Used</t>
  </si>
  <si>
    <t xml:space="preserve">Balance</t>
  </si>
  <si>
    <t xml:space="preserve">Treatment / notes</t>
  </si>
  <si>
    <t xml:space="preserve">Check</t>
  </si>
  <si>
    <t xml:space="preserve">Bupalex (ECF)</t>
  </si>
  <si>
    <t xml:space="preserve">4 x 50mls (200mls)</t>
  </si>
  <si>
    <t xml:space="preserve">200.0</t>
  </si>
  <si>
    <t xml:space="preserve">Opening balance</t>
  </si>
  <si>
    <t xml:space="preserve">25/3/2026</t>
  </si>
  <si>
    <t xml:space="preserve">10.0</t>
  </si>
  <si>
    <t xml:space="preserve">190.0</t>
  </si>
  <si>
    <t xml:space="preserve">Treated sick calve no. 116</t>
  </si>
  <si>
    <t xml:space="preserve">11/4/2026</t>
  </si>
  <si>
    <t xml:space="preserve">20.0</t>
  </si>
  <si>
    <t xml:space="preserve">170.0</t>
  </si>
  <si>
    <t xml:space="preserve">Treated calve no. 105, ECF, temp 40</t>
  </si>
  <si>
    <t xml:space="preserve">12/04/2026</t>
  </si>
  <si>
    <t xml:space="preserve">150.0</t>
  </si>
  <si>
    <t xml:space="preserve">Repeated same sick calve no. 105</t>
  </si>
  <si>
    <t xml:space="preserve">130.0</t>
  </si>
  <si>
    <t xml:space="preserve">New case: treated she-cow no. 004 with ECF, temp 40</t>
  </si>
  <si>
    <t xml:space="preserve">110.0</t>
  </si>
  <si>
    <t xml:space="preserve">Treated he-cow, new case, ECF, temp 40, no. 108</t>
  </si>
  <si>
    <t xml:space="preserve">15/4/2026</t>
  </si>
  <si>
    <t xml:space="preserve">100.0</t>
  </si>
  <si>
    <t xml:space="preserve">Repeated sick cow no. 108</t>
  </si>
  <si>
    <t xml:space="preserve">80.0</t>
  </si>
  <si>
    <t xml:space="preserve">Repeated sick cow no. 004, temp 40</t>
  </si>
  <si>
    <t xml:space="preserve">60.0</t>
  </si>
  <si>
    <t xml:space="preserve">Repeated sick cow no. 105, temp 40</t>
  </si>
  <si>
    <t xml:space="preserve">16/4/2026</t>
  </si>
  <si>
    <t xml:space="preserve">65.0</t>
  </si>
  <si>
    <t xml:space="preserve">Balance reverification</t>
  </si>
  <si>
    <t xml:space="preserve">Arithmetic break in original - verify against notebook</t>
  </si>
  <si>
    <t xml:space="preserve">18/4/2026</t>
  </si>
  <si>
    <t xml:space="preserve">45.0</t>
  </si>
  <si>
    <t xml:space="preserve">19/4/2026</t>
  </si>
  <si>
    <t xml:space="preserve">30.0</t>
  </si>
  <si>
    <t xml:space="preserve">Treated cow no. 111 with ECF, temp 40</t>
  </si>
  <si>
    <t xml:space="preserve">Balance doesn't reconcile exactly to prior row (45-20=25, not 30) - verify</t>
  </si>
  <si>
    <t xml:space="preserve">21/4/2026</t>
  </si>
  <si>
    <t xml:space="preserve">Repeated cow no. 72, ECF, temp 38.6</t>
  </si>
  <si>
    <t xml:space="preserve">22/4/2026</t>
  </si>
  <si>
    <t xml:space="preserve">Repeated cow no. 004, temp 41, ECF</t>
  </si>
  <si>
    <t xml:space="preserve">29/6/2026</t>
  </si>
  <si>
    <t xml:space="preserve">50 (from safe)</t>
  </si>
  <si>
    <t xml:space="preserve">50.0</t>
  </si>
  <si>
    <t xml:space="preserve">NB: 50mls sourced "from safe" (new stock, not a formal delivery)</t>
  </si>
  <si>
    <t xml:space="preserve">40.0</t>
  </si>
  <si>
    <t xml:space="preserve">Treated sick calf, temp 41, ECF (signed Julie, 3/7)</t>
  </si>
  <si>
    <t xml:space="preserve">13/8/2026</t>
  </si>
  <si>
    <t xml:space="preserve">Physical stock count (13/8/2026 balances sheet): recorded as NIL. Prior running balance was 40mls (29/6/2026) - no Used entries are logged between 29/6 and 13/8 to account for the drop, so either usage wasn't logged in this gap or this reading is a different product (scan reads 'Buparcin'/'Buparvon' - spelling varies across scans, treated as the same drug as Bupalex/Buparvet elsewhere). The same day's requirements list separately notes 50ml of this product as needed - not logged as Received since it's a request, not a confirmed delivery.</t>
  </si>
  <si>
    <t xml:space="preserve">Balance drop from 40 to NIL is unexplained by logged usage - verify against physical stock and 29/6-13/8 treatment records</t>
  </si>
  <si>
    <t xml:space="preserve">7 x 100mls (700mls)</t>
  </si>
  <si>
    <t xml:space="preserve">700.0</t>
  </si>
  <si>
    <t xml:space="preserve">17/3/2026</t>
  </si>
  <si>
    <t xml:space="preserve">690.0</t>
  </si>
  <si>
    <t xml:space="preserve">bulk herd dose</t>
  </si>
  <si>
    <t xml:space="preserve">Treated free-roaming/new bull</t>
  </si>
  <si>
    <t xml:space="preserve">Physical stock count (13/8/2026 balances sheet, read as 'Evermectin'): recorded as NIL, consistent with the running balance of 0 already on record since 25/3/2026.</t>
  </si>
  <si>
    <t xml:space="preserve">6 x 500mls (3,000mls)</t>
  </si>
  <si>
    <t xml:space="preserve">3000.0</t>
  </si>
  <si>
    <t xml:space="preserve">Opening balance. Separate note in margin: "Lot issued 500mls"</t>
  </si>
  <si>
    <t xml:space="preserve">1900.0</t>
  </si>
  <si>
    <t xml:space="preserve">1100.0</t>
  </si>
  <si>
    <t xml:space="preserve">Herd treatment</t>
  </si>
  <si>
    <t xml:space="preserve">1080.0</t>
  </si>
  <si>
    <t xml:space="preserve">Treated the new bull</t>
  </si>
  <si>
    <t xml:space="preserve">1070.0</t>
  </si>
  <si>
    <t xml:space="preserve">Repeated: free sick calve no. 116</t>
  </si>
  <si>
    <t xml:space="preserve">4.0</t>
  </si>
  <si>
    <t xml:space="preserve">1066.0</t>
  </si>
  <si>
    <t xml:space="preserve">Treated sick sheep no TBC</t>
  </si>
  <si>
    <t xml:space="preserve">Sheep number illegible</t>
  </si>
  <si>
    <t xml:space="preserve">26/3/2026</t>
  </si>
  <si>
    <t xml:space="preserve">1046.0</t>
  </si>
  <si>
    <t xml:space="preserve">Treated sick cow no. 45, FMD</t>
  </si>
  <si>
    <t xml:space="preserve">27/3/2026</t>
  </si>
  <si>
    <t xml:space="preserve">1026.0</t>
  </si>
  <si>
    <t xml:space="preserve">Repeated cow no. 45, sick, FMD</t>
  </si>
  <si>
    <t xml:space="preserve">15.0</t>
  </si>
  <si>
    <t xml:space="preserve">1011.0</t>
  </si>
  <si>
    <t xml:space="preserve">Repeated cow no. 72</t>
  </si>
  <si>
    <t xml:space="preserve">996.0</t>
  </si>
  <si>
    <t xml:space="preserve">Repeated cow no. 004, temp 41</t>
  </si>
  <si>
    <t xml:space="preserve">24/4/2026</t>
  </si>
  <si>
    <t xml:space="preserve">981.0</t>
  </si>
  <si>
    <t xml:space="preserve">Treated cow no. 002, temp 41</t>
  </si>
  <si>
    <t xml:space="preserve">28/4/2026</t>
  </si>
  <si>
    <t xml:space="preserve">961.0</t>
  </si>
  <si>
    <t xml:space="preserve">Repeated cow no. 72, temp 40</t>
  </si>
  <si>
    <t xml:space="preserve">04/5/2026</t>
  </si>
  <si>
    <t xml:space="preserve">941.0</t>
  </si>
  <si>
    <t xml:space="preserve">Treated she-cow no. 25, temp 41, with ECF</t>
  </si>
  <si>
    <t xml:space="preserve">05/5/2026</t>
  </si>
  <si>
    <t xml:space="preserve">926.0</t>
  </si>
  <si>
    <t xml:space="preserve">Repeated cow no. 72, temp 41</t>
  </si>
  <si>
    <t xml:space="preserve">911.0</t>
  </si>
  <si>
    <t xml:space="preserve">Repeated she-cow no. 25, temp 40</t>
  </si>
  <si>
    <t xml:space="preserve">06/5/2026</t>
  </si>
  <si>
    <t xml:space="preserve">896.0</t>
  </si>
  <si>
    <t xml:space="preserve">Repeated she-cow no. 25, temp 39</t>
  </si>
  <si>
    <t xml:space="preserve">08/5/2026</t>
  </si>
  <si>
    <t xml:space="preserve">881.0</t>
  </si>
  <si>
    <t xml:space="preserve">5.0</t>
  </si>
  <si>
    <t xml:space="preserve">876.0</t>
  </si>
  <si>
    <t xml:space="preserve">Sheep no. 140</t>
  </si>
  <si>
    <t xml:space="preserve">11/5/2026</t>
  </si>
  <si>
    <t xml:space="preserve">861.0</t>
  </si>
  <si>
    <t xml:space="preserve">Treated cow no. 12, temp 40, ECF</t>
  </si>
  <si>
    <t xml:space="preserve">14/5/2026</t>
  </si>
  <si>
    <t xml:space="preserve">851.0</t>
  </si>
  <si>
    <t xml:space="preserve">Antiprotozoan control</t>
  </si>
  <si>
    <t xml:space="preserve">23/5/2026</t>
  </si>
  <si>
    <t xml:space="preserve">2.0</t>
  </si>
  <si>
    <t xml:space="preserve">849.0</t>
  </si>
  <si>
    <t xml:space="preserve">Treated sick sheep, paralyzed legs </t>
  </si>
  <si>
    <t xml:space="preserve">04/6/2026</t>
  </si>
  <si>
    <t xml:space="preserve">844.0</t>
  </si>
  <si>
    <t xml:space="preserve">Treated sick sheep, lungs problem</t>
  </si>
  <si>
    <t xml:space="preserve">Ecocan 20pct LA</t>
  </si>
  <si>
    <t xml:space="preserve">5/6/2026</t>
  </si>
  <si>
    <t xml:space="preserve">Opening balance as logged</t>
  </si>
  <si>
    <t xml:space="preserve">85</t>
  </si>
  <si>
    <t xml:space="preserve">6/6/2026</t>
  </si>
  <si>
    <t xml:space="preserve">3</t>
  </si>
  <si>
    <t xml:space="preserve">82.0</t>
  </si>
  <si>
    <t xml:space="preserve">7/6/2026</t>
  </si>
  <si>
    <t xml:space="preserve">3.0</t>
  </si>
  <si>
    <t xml:space="preserve">79</t>
  </si>
  <si>
    <t xml:space="preserve">10/6/2026</t>
  </si>
  <si>
    <t xml:space="preserve">64</t>
  </si>
  <si>
    <t xml:space="preserve">12/6/2026</t>
  </si>
  <si>
    <t xml:space="preserve">61</t>
  </si>
  <si>
    <t xml:space="preserve">15/06/2026</t>
  </si>
  <si>
    <t xml:space="preserve">46</t>
  </si>
  <si>
    <t xml:space="preserve">15/6/2026</t>
  </si>
  <si>
    <t xml:space="preserve">100</t>
  </si>
  <si>
    <t xml:space="preserve">Stock top-up</t>
  </si>
  <si>
    <t xml:space="preserve">16/6/2026</t>
  </si>
  <si>
    <t xml:space="preserve">15</t>
  </si>
  <si>
    <t xml:space="preserve">31</t>
  </si>
  <si>
    <t xml:space="preserve">18/6/2026</t>
  </si>
  <si>
    <t xml:space="preserve">2</t>
  </si>
  <si>
    <t xml:space="preserve">29</t>
  </si>
  <si>
    <t xml:space="preserve">19/6/2026</t>
  </si>
  <si>
    <t xml:space="preserve">10</t>
  </si>
  <si>
    <t xml:space="preserve">19</t>
  </si>
  <si>
    <t xml:space="preserve">Alamycin 30pct</t>
  </si>
  <si>
    <t xml:space="preserve">Opening stock (from 13/8/2026 stock count)</t>
  </si>
  <si>
    <t xml:space="preserve">26.0</t>
  </si>
  <si>
    <t xml:space="preserve">First entry for this product - digitized from the 13/8/2026 balances page (physical stock count).</t>
  </si>
  <si>
    <t xml:space="preserve">Product name is a best-effort read ('Agarifern 30%' on scan) - confirm actual product before relying on this sheet</t>
  </si>
  <si>
    <t xml:space="preserve">Opening (card start)</t>
  </si>
  <si>
    <t xml:space="preserve">~90</t>
  </si>
  <si>
    <t xml:space="preserve">Approximate -- verify against original</t>
  </si>
  <si>
    <t xml:space="preserve">Closing (last legible row)</t>
  </si>
  <si>
    <t xml:space="preserve">~55</t>
  </si>
  <si>
    <t xml:space="preserve">Row-by-row detail not transcribed -- recommend re-photographing this card in good light if line-item detail is needed</t>
  </si>
  <si>
    <t xml:space="preserve">Dexa</t>
  </si>
  <si>
    <t xml:space="preserve">2,400 (24 x 100mls)</t>
  </si>
  <si>
    <t xml:space="preserve">Opening balance as logged on the card</t>
  </si>
  <si>
    <t xml:space="preserve">185</t>
  </si>
  <si>
    <t xml:space="preserve">12/4/2026</t>
  </si>
  <si>
    <t xml:space="preserve">170</t>
  </si>
  <si>
    <t xml:space="preserve">12/4/2026 (2nd entry)</t>
  </si>
  <si>
    <t xml:space="preserve">155</t>
  </si>
  <si>
    <t xml:space="preserve">140</t>
  </si>
  <si>
    <t xml:space="preserve">125</t>
  </si>
  <si>
    <t xml:space="preserve">20/4/2026</t>
  </si>
  <si>
    <t xml:space="preserve">110</t>
  </si>
  <si>
    <t xml:space="preserve">23/4/2026</t>
  </si>
  <si>
    <t xml:space="preserve">200</t>
  </si>
  <si>
    <t xml:space="preserve">5/5/2026</t>
  </si>
  <si>
    <t xml:space="preserve">6/5/2026</t>
  </si>
  <si>
    <t xml:space="preserve">4</t>
  </si>
  <si>
    <t xml:space="preserve">136</t>
  </si>
  <si>
    <t xml:space="preserve">121</t>
  </si>
  <si>
    <t xml:space="preserve">106</t>
  </si>
  <si>
    <t xml:space="preserve">15/6/2026 (2nd entry)</t>
  </si>
  <si>
    <t xml:space="preserve">8</t>
  </si>
  <si>
    <t xml:space="preserve">98</t>
  </si>
  <si>
    <t xml:space="preserve">88</t>
  </si>
  <si>
    <t xml:space="preserve">27/7/2026</t>
  </si>
  <si>
    <t xml:space="preserve">78</t>
  </si>
  <si>
    <t xml:space="preserve">28/7/2026</t>
  </si>
  <si>
    <t xml:space="preserve">68</t>
  </si>
  <si>
    <t xml:space="preserve">5/8/2026</t>
  </si>
  <si>
    <t xml:space="preserve">53</t>
  </si>
  <si>
    <t xml:space="preserve">8/8/2026</t>
  </si>
  <si>
    <t xml:space="preserve">38</t>
  </si>
  <si>
    <t xml:space="preserve">10/8/2026</t>
  </si>
  <si>
    <t xml:space="preserve">28</t>
  </si>
  <si>
    <t xml:space="preserve">14/8/2026</t>
  </si>
  <si>
    <t xml:space="preserve">128</t>
  </si>
  <si>
    <t xml:space="preserve">21/8/2026</t>
  </si>
  <si>
    <t xml:space="preserve">5</t>
  </si>
  <si>
    <t xml:space="preserve">123</t>
  </si>
  <si>
    <t xml:space="preserve">27/8/2026</t>
  </si>
  <si>
    <t xml:space="preserve">119</t>
  </si>
  <si>
    <t xml:space="preserve">1700.0</t>
  </si>
  <si>
    <t xml:space="preserve">Opening</t>
  </si>
  <si>
    <t xml:space="preserve">2 x 20mls (?)</t>
  </si>
  <si>
    <t xml:space="preserve">Approximate - verify</t>
  </si>
  <si>
    <t xml:space="preserve">23/6/2026</t>
  </si>
  <si>
    <t xml:space="preserve">30</t>
  </si>
  <si>
    <t xml:space="preserve">Treated cow no. 25, temp HI (?)</t>
  </si>
  <si>
    <t xml:space="preserve">Verify</t>
  </si>
  <si>
    <t xml:space="preserve">25/6/2026</t>
  </si>
  <si>
    <t xml:space="preserve">20</t>
  </si>
  <si>
    <t xml:space="preserve">Repeated cow no. 25, temp HO</t>
  </si>
  <si>
    <t xml:space="preserve">1000 (1 bottle)</t>
  </si>
  <si>
    <t xml:space="preserve">1000</t>
  </si>
  <si>
    <t xml:space="preserve">Stock top-up; treated goat no. 118, sick</t>
  </si>
  <si>
    <t xml:space="preserve">1/7/2026</t>
  </si>
  <si>
    <t xml:space="preserve">990</t>
  </si>
  <si>
    <t xml:space="preserve">6/7/2026</t>
  </si>
  <si>
    <t xml:space="preserve">980</t>
  </si>
  <si>
    <t xml:space="preserve">Treated the sick cow, temp 39</t>
  </si>
  <si>
    <t xml:space="preserve">9/7/2026</t>
  </si>
  <si>
    <t xml:space="preserve">1900</t>
  </si>
  <si>
    <t xml:space="preserve">Deworm &amp; 2nd site goats given birth, bulls fed (?)</t>
  </si>
  <si>
    <t xml:space="preserve">Row uncertain - verify</t>
  </si>
  <si>
    <t xml:space="preserve">Latest known balance</t>
  </si>
  <si>
    <t xml:space="preserve">~635</t>
  </si>
  <si>
    <t xml:space="preserve">As of ~27/8/2026, per last legible figure on the card</t>
  </si>
  <si>
    <t xml:space="preserve">09/07/2026</t>
  </si>
  <si>
    <t xml:space="preserve">Received/opening</t>
  </si>
  <si>
    <t xml:space="preserve">18/5/2026</t>
  </si>
  <si>
    <t xml:space="preserve">50</t>
  </si>
  <si>
    <t xml:space="preserve">Treated 2 goats with off vulvas</t>
  </si>
  <si>
    <t xml:space="preserve">19/5/2026</t>
  </si>
  <si>
    <t xml:space="preserve">Repeated 2 goats with off vulvas</t>
  </si>
  <si>
    <t xml:space="preserve">3 x 125mls</t>
  </si>
  <si>
    <t xml:space="preserve">375.0</t>
  </si>
  <si>
    <t xml:space="preserve">26/6/2026</t>
  </si>
  <si>
    <t xml:space="preserve">373</t>
  </si>
  <si>
    <t xml:space="preserve">Treated 1 sheep with dropsy (?)</t>
  </si>
  <si>
    <t xml:space="preserve">27/6/2026</t>
  </si>
  <si>
    <t xml:space="preserve">363</t>
  </si>
  <si>
    <t xml:space="preserve">Treated 1 calf, scouring</t>
  </si>
  <si>
    <t xml:space="preserve">353</t>
  </si>
  <si>
    <t xml:space="preserve">Repeated same calf, scouring</t>
  </si>
  <si>
    <t xml:space="preserve">2/7/2026</t>
  </si>
  <si>
    <t xml:space="preserve">348</t>
  </si>
  <si>
    <t xml:space="preserve">Given goat kids</t>
  </si>
  <si>
    <t xml:space="preserve">2/7/2026 (2nd entry)</t>
  </si>
  <si>
    <t xml:space="preserve">343</t>
  </si>
  <si>
    <t xml:space="preserve">Given 1 goat kid (evacuated uterus)</t>
  </si>
  <si>
    <t xml:space="preserve">8/7/2026</t>
  </si>
  <si>
    <t xml:space="preserve">Additional entry on card, not clearly legible</t>
  </si>
  <si>
    <t xml:space="preserve">Opening (per this card)</t>
  </si>
  <si>
    <t xml:space="preserve">Matches the previous 13/8/2026 stock-count stub</t>
  </si>
  <si>
    <t xml:space="preserve">Treated one calf with ECF (?), alldehea reading uncertain</t>
  </si>
  <si>
    <t xml:space="preserve">5/7/2026</t>
  </si>
  <si>
    <t xml:space="preserve">Treated sick cow no. 17(?), temp 40</t>
  </si>
  <si>
    <t xml:space="preserve">Verify cow number</t>
  </si>
  <si>
    <t xml:space="preserve">16</t>
  </si>
  <si>
    <t xml:space="preserve">19/8/2026</t>
  </si>
  <si>
    <t xml:space="preserve">13</t>
  </si>
  <si>
    <t xml:space="preserve">Treated sick calf, temp 40.35</t>
  </si>
  <si>
    <t xml:space="preserve">26/8/2026</t>
  </si>
  <si>
    <t xml:space="preserve">Treated two sick calf, temp 40.34</t>
  </si>
  <si>
    <t xml:space="preserve">Balance doesn't reconcile exactly (13-2=11, not 5) - verify</t>
  </si>
  <si>
    <t xml:space="preserve">2/9/2026</t>
  </si>
  <si>
    <t xml:space="preserve">Repeated two sick calf, temp 40.04</t>
  </si>
  <si>
    <t xml:space="preserve">33</t>
  </si>
  <si>
    <t xml:space="preserve">Opening/received; balance as logged (doesn't cleanly reconcile 50 received to 33 balance with no Used shown - verify)</t>
  </si>
  <si>
    <t xml:space="preserve">17/5/2026</t>
  </si>
  <si>
    <t xml:space="preserve">21/5/2026</t>
  </si>
  <si>
    <t xml:space="preserve">1/8/2026</t>
  </si>
  <si>
    <t xml:space="preserve">Treated 1 sheep, lungs problem</t>
  </si>
  <si>
    <t xml:space="preserve">Dip Dominex</t>
  </si>
  <si>
    <t xml:space="preserve">Opening (earliest legible entry)</t>
  </si>
  <si>
    <t xml:space="preserve">3,000 (delivery)</t>
  </si>
  <si>
    <t xml:space="preserve">3,000</t>
  </si>
  <si>
    <t xml:space="preserve">First receipt logged on this card</t>
  </si>
  <si>
    <t xml:space="preserve">~May-June 2026</t>
  </si>
  <si>
    <t xml:space="preserve">~2,700 (approx, over ~20 spray entries)</t>
  </si>
  <si>
    <t xml:space="preserve">~300</t>
  </si>
  <si>
    <t xml:space="preserve">Alternating cattle/goat/sheep sprays, ~300ml cattle / ~100ml goat-sheep per dose</t>
  </si>
  <si>
    <t xml:space="preserve">Mid-2026</t>
  </si>
  <si>
    <t xml:space="preserve">3,000 + further top-ups (2LT, 1LT, 3LT logged)</t>
  </si>
  <si>
    <t xml:space="preserve">varies</t>
  </si>
  <si>
    <t xml:space="preserve">Periodic stock top-ups</t>
  </si>
  <si>
    <t xml:space="preserve">~July-August 2026</t>
  </si>
  <si>
    <t xml:space="preserve">~2,600 (approx, over ~35 spray entries)</t>
  </si>
  <si>
    <t xml:space="preserve">declining</t>
  </si>
  <si>
    <t xml:space="preserve">Continued alternating cattle/goat sprays, mostly recorded 'Athu' issued / 'David' received</t>
  </si>
  <si>
    <t xml:space="preserve">18/8/2026 (latest legible balance)</t>
  </si>
  <si>
    <t xml:space="preserve">~168 (approx, one balance read '168mls' on the last page)</t>
  </si>
  <si>
    <t xml:space="preserve">Spray cattle</t>
  </si>
  <si>
    <t xml:space="preserve">Approximate - recommend a manual line-item pass if precise balance is needed</t>
  </si>
  <si>
    <t xml:space="preserve">Alcurmix</t>
  </si>
  <si>
    <t xml:space="preserve">14/9/2026 (date uncertain)</t>
  </si>
  <si>
    <t xml:space="preserve">330</t>
  </si>
  <si>
    <t xml:space="preserve">Received/opening - date and figure both uncertain, verify</t>
  </si>
  <si>
    <t xml:space="preserve">18/8/2026</t>
  </si>
  <si>
    <t xml:space="preserve">168</t>
  </si>
  <si>
    <t xml:space="preserve">~2680</t>
  </si>
  <si>
    <t xml:space="preserve">Balance figure approximate - verify</t>
  </si>
  <si>
    <t xml:space="preserve">16/5/2026</t>
  </si>
  <si>
    <t xml:space="preserve">0.5</t>
  </si>
  <si>
    <t xml:space="preserve">4.5</t>
  </si>
  <si>
    <t xml:space="preserve">Treated goats, with ORF virus 25 goats </t>
  </si>
  <si>
    <t xml:space="preserve">Treated goats, with ORF virus 25 goats (washing)</t>
  </si>
  <si>
    <t xml:space="preserve">Balance recorded as NIL - out of stock as of 13/8/2026</t>
  </si>
  <si>
    <t xml:space="preserve">Month end (or last record)</t>
  </si>
  <si>
    <t xml:space="preserve">Tracker count (real)</t>
  </si>
  <si>
    <t xml:space="preserve">Animals tab count</t>
  </si>
  <si>
    <t xml:space="preserve">Difference</t>
  </si>
  <si>
    <t xml:space="preserve">The 'Animals tab count' counts animals that had joined and not yet left on that date. A difference of 0 means the rebuilt animals add up to the farm's real count.</t>
  </si>
  <si>
    <t xml:space="preserve">Photo</t>
  </si>
  <si>
    <t xml:space="preserve">Book</t>
  </si>
  <si>
    <t xml:space="preserve">Dates on the page</t>
  </si>
  <si>
    <t xml:space="preserve">First row (as read)</t>
  </si>
  <si>
    <t xml:space="preserve">Last row (as read)</t>
  </si>
  <si>
    <t xml:space="preserve">Remarks read</t>
  </si>
  <si>
    <t xml:space="preserve">Data3.jpeg</t>
  </si>
  <si>
    <t xml:space="preserve">Cows and calves</t>
  </si>
  <si>
    <t xml:space="preserve">17/3/2020 - 26/3/2020</t>
  </si>
  <si>
    <t xml:space="preserve">He 14, She 62, calves He 19, She 24: total 119</t>
  </si>
  <si>
    <t xml:space="preserve">He 14, She 62, calves He 20, She 23: total 119</t>
  </si>
  <si>
    <t xml:space="preserve">'1 He calve new born'; '1 She calve died'</t>
  </si>
  <si>
    <t xml:space="preserve">Data2.jpeg</t>
  </si>
  <si>
    <t xml:space="preserve">Goats and sheep</t>
  </si>
  <si>
    <t xml:space="preserve">4/4/2020 - 14/4/2020</t>
  </si>
  <si>
    <t xml:space="preserve">Goats He 27, She 54, kids He 6, She 3: total 90; sheep about 157; all small stock 243 - 245</t>
  </si>
  <si>
    <t xml:space="preserve">Goats total 90; sheep about 165; all small stock about 247</t>
  </si>
  <si>
    <t xml:space="preserve">Several sheep births and one sheep death noted in red (partly unreadable)</t>
  </si>
  <si>
    <t xml:space="preserve">Data4.jpeg</t>
  </si>
  <si>
    <t xml:space="preserve">11/5/2020 - 21/5/2020</t>
  </si>
  <si>
    <t xml:space="preserve">He 14, She 62, calves He 18, She 25: total 119</t>
  </si>
  <si>
    <t xml:space="preserve">He 14, She 62, calves He 18, She 26: total 120</t>
  </si>
  <si>
    <t xml:space="preserve">One calf added about 13/5 (no remark readable)</t>
  </si>
  <si>
    <t xml:space="preserve">Data1.jpeg</t>
  </si>
  <si>
    <t xml:space="preserve">18/5/2020 - 28/5/2020</t>
  </si>
  <si>
    <t xml:space="preserve">Goats He 25, She 51, kids He 3, She 2: total 81; sheep about 161; small stock 239</t>
  </si>
  <si>
    <t xml:space="preserve">Goats about 78; sheep about 155; small stock about 227</t>
  </si>
  <si>
    <t xml:space="preserve">Sheep sold and died (red remarks, partly unreadable)</t>
  </si>
  <si>
    <t xml:space="preserve">WhatsApp_Image_2026-11-01_at_19.45.13.jpeg</t>
  </si>
  <si>
    <t xml:space="preserve">9/6/2020 - 19/6/2020</t>
  </si>
  <si>
    <t xml:space="preserve">Goats He 25, She 48, kids He 3, She 1: total 77; sheep about 152; small stock 221</t>
  </si>
  <si>
    <t xml:space="preserve">Goats about 77; sheep about 149; small stock about 220</t>
  </si>
  <si>
    <t xml:space="preserve">Remarks in red about sheep (partly unreadable)</t>
  </si>
  <si>
    <t xml:space="preserve">Data5.jpeg</t>
  </si>
  <si>
    <t xml:space="preserve">13/6/2020 - 23/6/2020</t>
  </si>
  <si>
    <t xml:space="preserve">He 13, She 61, calves He 18, She 26: total 118</t>
  </si>
  <si>
    <t xml:space="preserve">He 13, She 60, calves He 20, She 27: total 120</t>
  </si>
  <si>
    <t xml:space="preserve">'One she cow died' (16/6); '2 He calves new born, 1 She calve new born' (19/6)</t>
  </si>
  <si>
    <t xml:space="preserve">Data6.jpeg</t>
  </si>
  <si>
    <t xml:space="preserve">9/9/2020 - 19/9/2020</t>
  </si>
  <si>
    <t xml:space="preserve">He 14, She 66, calves He 12, She 18: total 110</t>
  </si>
  <si>
    <t xml:space="preserve">He 15, She 66, calves He 12, She 17: total 110</t>
  </si>
  <si>
    <t xml:space="preserve">'1 Bull bought' (14/9); '1 She calve died' (17/9)</t>
  </si>
  <si>
    <t xml:space="preserve">Data7.jpeg</t>
  </si>
  <si>
    <t xml:space="preserve">13/11/2020 - 23/11/2020</t>
  </si>
  <si>
    <t xml:space="preserve">He 15, She 66, calves He 13, She 17: total 111</t>
  </si>
  <si>
    <t xml:space="preserve">He 15, She 66, calves He 15, She 21: total 117</t>
  </si>
  <si>
    <t xml:space="preserve">'1 He calf new born' (14/11); '1 She calve new born' (19/11); '1 She calve new born' (22/11); '1 He calve new born' (23/11)</t>
  </si>
  <si>
    <t xml:space="preserve">Data9.jpeg</t>
  </si>
  <si>
    <t xml:space="preserve">16/5/2021 - 26/5/2021</t>
  </si>
  <si>
    <t xml:space="preserve">Goats He 29, She 54, kids He 3, She 4: total 90; sheep He 41, She 117; lambs He 10, She 13; small stock 181</t>
  </si>
  <si>
    <t xml:space="preserve">Goats He 31, She 54: total 90; sheep about 114; small stock 177</t>
  </si>
  <si>
    <t xml:space="preserve">'2 She sheep sold'; '1 She sheep died'; '1 He sheep died' (dates partly unreadable)</t>
  </si>
  <si>
    <t xml:space="preserve">Data8.jpeg</t>
  </si>
  <si>
    <t xml:space="preserve">18/6/2021 - 28/6/2021</t>
  </si>
  <si>
    <t xml:space="preserve">Goats He 31, She 54, kids He 4, She 6: total 95; sheep about 114; small stock 180</t>
  </si>
  <si>
    <t xml:space="preserve">Goats about 93; sheep about 117; small stock about 181</t>
  </si>
  <si>
    <t xml:space="preserve">'2 She sheep sold'; '1 She sheep sold'; '2 He new born'; '1 He sheep sold, 1 She sheep sold'; '1 She goat died'</t>
  </si>
  <si>
    <t xml:space="preserve">These pages are from 2020 and 2021. The photos were taken sideways or upside down and some figures are faint, so numbers marked 'about' are best readings: please check them against the books. None of these animals are still on the farm, so this tab is history only and isn't used on the Animals tab.</t>
  </si>
  <si>
    <t xml:space="preserve">What doesn't add up, and what we did</t>
  </si>
  <si>
    <t xml:space="preserve">Goats, sheep</t>
  </si>
  <si>
    <t xml:space="preserve">The 2025 - 2026 Goat and Sheep Tracker sheets repeat the COW numbers from 1/1/2025 to 30/5/2025 (copied from the cow sheet). Goats and sheep are therefore rebuilt from 31/5/2025.</t>
  </si>
  <si>
    <t xml:space="preserve">Livestock Tracker</t>
  </si>
  <si>
    <t xml:space="preserve">The note says '1 She sheep bitten by Hyena (#170)', but the count shows a male adult going down. The count is followed, so S170 is shown as a male.</t>
  </si>
  <si>
    <t xml:space="preserve">The note repeats '1 she cow died on 27th Number 004' (already recorded on 28/4). A second female cow left the count; her cause is shown as not recorded.</t>
  </si>
  <si>
    <t xml:space="preserve">Cattle / sheep</t>
  </si>
  <si>
    <t xml:space="preserve">The Histacine card says it treated a sheep with a lung problem on 1/8; the Activity Tracker says a he-cow with anaplasmosis. The Activity Tracker version is used.</t>
  </si>
  <si>
    <t xml:space="preserve">Medicine Log / Activity Tracker</t>
  </si>
  <si>
    <t xml:space="preserve">All</t>
  </si>
  <si>
    <t xml:space="preserve">The Activity Tracker counts animals without tags: cattle 8 male, 43 female; calves 18 male, 12 female; goats 5 male, 8 female, 21 kids; sheep 20 male, 26 female. Most animals were untagged, so few real numbers exist.</t>
  </si>
  <si>
    <t xml:space="preserve">Activity Tracker</t>
  </si>
  <si>
    <t xml:space="preserve">'1 she goat lost' was never followed by 'found'; shown as Lost.</t>
  </si>
  <si>
    <t xml:space="preserve">Some medicine cards don't add up row to row (Bupalex 16/4 and 19/4/2026, S-Dime tabs 26/8/2026, Histacine 6/5/2026), and the Penstrep, Bupacin and Dominex cards were only summarised. See the 'Check' column on the Pharmacy tab.</t>
  </si>
  <si>
    <t xml:space="preserve">Cow 004 died on 27/4 but the book recorded it on 28/4, so the Head-count check can be 1 out for that single day. Month ends are not affected.</t>
  </si>
  <si>
    <t xml:space="preserve">Count moved 2 from female to male with no note; treated as a correction of sex.</t>
  </si>
  <si>
    <t xml:space="preserve">Livestock Tracker, 2025 - 2026 Cow Tracker, 31/05/2025</t>
  </si>
  <si>
    <t xml:space="preserve">One male adult was added to the count with no birth or purchase noted; shown as 'Appeared in the count'.</t>
  </si>
  <si>
    <t xml:space="preserve">One male young left the count with no explanation; shown as 'Missing (count correction)'.</t>
  </si>
  <si>
    <t xml:space="preserve">One female young was added to the count with no birth or purchase noted; shown as 'Appeared in the count'.</t>
  </si>
  <si>
    <t xml:space="preserve">Livestock Tracker, 2025 - 2026 Goat Tracker, 22/08/2025: "No explanation"</t>
  </si>
  <si>
    <t xml:space="preserve">One female young left the count with no explanation; shown as 'Missing (count correction)'.</t>
  </si>
  <si>
    <t xml:space="preserve">One female adult left the count with no explanation; shown as 'Missing (count correction)'.</t>
  </si>
  <si>
    <t xml:space="preserve">Count moved 1 from male to female with no note; treated as a correction of sex.</t>
  </si>
  <si>
    <t xml:space="preserve">Livestock Tracker, 2025 - 2026 Goat Tracker, 11/02/2026: "After tagging"</t>
  </si>
  <si>
    <t xml:space="preserve">Count moved 4 from male to female with no note; treated as a correction of sex.</t>
  </si>
  <si>
    <t xml:space="preserve">Livestock Tracker, 2025-2026 Sheep Tracker, 11/02/2026: "Audit"</t>
  </si>
  <si>
    <t xml:space="preserve">One female adult was added to the count with no birth or purchase noted; shown as 'Appeared in the count'.</t>
  </si>
  <si>
    <t xml:space="preserve">Count moved 1 from female to male with no note; treated as a correction of sex.</t>
  </si>
  <si>
    <t xml:space="preserve">Livestock Tracker, 2025 - 2026 Cow Tracker, 13/02/2026: "Audit"</t>
  </si>
  <si>
    <t xml:space="preserve">One male adult left the count with no explanation; shown as 'Missing (count correction)'.</t>
  </si>
</sst>
</file>

<file path=xl/styles.xml><?xml version="1.0" encoding="utf-8"?>
<styleSheet xmlns="http://schemas.openxmlformats.org/spreadsheetml/2006/main">
  <numFmts count="4">
    <numFmt numFmtId="164" formatCode="General"/>
    <numFmt numFmtId="165" formatCode="dd/mm/yyyy"/>
    <numFmt numFmtId="166" formatCode="0.0"/>
    <numFmt numFmtId="167" formatCode="#,##0"/>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name val="Arial"/>
      <family val="0"/>
      <charset val="1"/>
    </font>
    <font>
      <b val="true"/>
      <sz val="10"/>
      <name val="Arial"/>
      <family val="0"/>
      <charset val="1"/>
    </font>
    <font>
      <b val="true"/>
      <sz val="10"/>
      <color rgb="FFFFFFFF"/>
      <name val="Arial"/>
      <family val="0"/>
      <charset val="1"/>
    </font>
    <font>
      <sz val="10"/>
      <name val="Arial"/>
      <family val="2"/>
    </font>
  </fonts>
  <fills count="5">
    <fill>
      <patternFill patternType="none"/>
    </fill>
    <fill>
      <patternFill patternType="gray125"/>
    </fill>
    <fill>
      <patternFill patternType="solid">
        <fgColor rgb="FFDDEBF7"/>
        <bgColor rgb="FFCCFFFF"/>
      </patternFill>
    </fill>
    <fill>
      <patternFill patternType="solid">
        <fgColor rgb="FFFCE4D6"/>
        <bgColor rgb="FFDDEBF7"/>
      </patternFill>
    </fill>
    <fill>
      <patternFill patternType="solid">
        <fgColor rgb="FF1F4E78"/>
        <bgColor rgb="FF003366"/>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5" fontId="5" fillId="2"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7" fontId="5" fillId="2" borderId="1" xfId="0" applyFont="true" applyBorder="true" applyAlignment="false" applyProtection="false">
      <alignment horizontal="general" vertical="bottom" textRotation="0" wrapText="false" indent="0" shrinkToFit="false"/>
      <protection locked="true" hidden="false"/>
    </xf>
    <xf numFmtId="166" fontId="5" fillId="2" borderId="1"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12"/>
    <col collapsed="false" customWidth="true" hidden="false" outlineLevel="0" max="6" min="5" style="0" width="45"/>
  </cols>
  <sheetData>
    <row r="1" customFormat="false" ht="21.75" hidden="false" customHeight="true" outlineLevel="0" collapsed="false">
      <c r="A1" s="1" t="s">
        <v>0</v>
      </c>
      <c r="B1" s="1"/>
      <c r="C1" s="1"/>
      <c r="D1" s="1"/>
      <c r="E1" s="1"/>
      <c r="F1" s="1"/>
    </row>
    <row r="2" customFormat="false" ht="30" hidden="false" customHeight="true" outlineLevel="0" collapsed="false">
      <c r="A2" s="2" t="s">
        <v>1</v>
      </c>
      <c r="B2" s="2"/>
      <c r="C2" s="2"/>
      <c r="D2" s="2"/>
      <c r="E2" s="2"/>
      <c r="F2" s="2"/>
    </row>
    <row r="3" customFormat="false" ht="15" hidden="false" customHeight="true" outlineLevel="0" collapsed="false">
      <c r="A3" s="2"/>
      <c r="B3" s="2"/>
      <c r="C3" s="2"/>
      <c r="D3" s="2"/>
      <c r="E3" s="2"/>
      <c r="F3" s="2"/>
    </row>
    <row r="4" customFormat="false" ht="15.75" hidden="false" customHeight="true" outlineLevel="0" collapsed="false">
      <c r="A4" s="3" t="s">
        <v>2</v>
      </c>
      <c r="B4" s="3"/>
      <c r="C4" s="3"/>
      <c r="D4" s="3"/>
      <c r="E4" s="3"/>
      <c r="F4" s="3"/>
    </row>
    <row r="5" customFormat="false" ht="15" hidden="false" customHeight="false" outlineLevel="0" collapsed="false">
      <c r="A5" s="4" t="s">
        <v>3</v>
      </c>
      <c r="B5" s="5" t="s">
        <v>4</v>
      </c>
      <c r="C5" s="5"/>
      <c r="D5" s="5"/>
      <c r="E5" s="5"/>
      <c r="F5" s="5"/>
    </row>
    <row r="6" customFormat="false" ht="15" hidden="false" customHeight="false" outlineLevel="0" collapsed="false">
      <c r="A6" s="6" t="s">
        <v>5</v>
      </c>
      <c r="B6" s="5" t="s">
        <v>6</v>
      </c>
      <c r="C6" s="5"/>
      <c r="D6" s="5"/>
      <c r="E6" s="5"/>
      <c r="F6" s="5"/>
    </row>
    <row r="7" customFormat="false" ht="15" hidden="false" customHeight="true" outlineLevel="0" collapsed="false">
      <c r="A7" s="2"/>
      <c r="B7" s="2"/>
      <c r="C7" s="2"/>
      <c r="D7" s="2"/>
      <c r="E7" s="2"/>
      <c r="F7" s="2"/>
    </row>
    <row r="8" customFormat="false" ht="15.75" hidden="false" customHeight="true" outlineLevel="0" collapsed="false">
      <c r="A8" s="3" t="s">
        <v>7</v>
      </c>
      <c r="B8" s="3"/>
      <c r="C8" s="3"/>
      <c r="D8" s="3"/>
      <c r="E8" s="3"/>
      <c r="F8" s="3"/>
    </row>
    <row r="9" customFormat="false" ht="30" hidden="false" customHeight="true" outlineLevel="0" collapsed="false">
      <c r="A9" s="2" t="s">
        <v>8</v>
      </c>
      <c r="B9" s="2"/>
      <c r="C9" s="2"/>
      <c r="D9" s="2"/>
      <c r="E9" s="2"/>
      <c r="F9" s="2"/>
    </row>
    <row r="10" customFormat="false" ht="30" hidden="false" customHeight="true" outlineLevel="0" collapsed="false">
      <c r="A10" s="2" t="s">
        <v>9</v>
      </c>
      <c r="B10" s="2"/>
      <c r="C10" s="2"/>
      <c r="D10" s="2"/>
      <c r="E10" s="2"/>
      <c r="F10" s="2"/>
    </row>
    <row r="11" customFormat="false" ht="30" hidden="false" customHeight="true" outlineLevel="0" collapsed="false">
      <c r="A11" s="2" t="s">
        <v>10</v>
      </c>
      <c r="B11" s="2"/>
      <c r="C11" s="2"/>
      <c r="D11" s="2"/>
      <c r="E11" s="2"/>
      <c r="F11" s="2"/>
    </row>
    <row r="12" customFormat="false" ht="30" hidden="false" customHeight="true" outlineLevel="0" collapsed="false">
      <c r="A12" s="2" t="s">
        <v>11</v>
      </c>
      <c r="B12" s="2"/>
      <c r="C12" s="2"/>
      <c r="D12" s="2"/>
      <c r="E12" s="2"/>
      <c r="F12" s="2"/>
    </row>
    <row r="13" customFormat="false" ht="15" hidden="false" customHeight="true" outlineLevel="0" collapsed="false">
      <c r="A13" s="2"/>
      <c r="B13" s="2"/>
      <c r="C13" s="2"/>
      <c r="D13" s="2"/>
      <c r="E13" s="2"/>
      <c r="F13" s="2"/>
    </row>
    <row r="14" customFormat="false" ht="15.75" hidden="false" customHeight="true" outlineLevel="0" collapsed="false">
      <c r="A14" s="3" t="s">
        <v>12</v>
      </c>
      <c r="B14" s="3"/>
      <c r="C14" s="3"/>
      <c r="D14" s="3"/>
      <c r="E14" s="3"/>
      <c r="F14" s="3"/>
    </row>
    <row r="15" customFormat="false" ht="15" hidden="false" customHeight="true" outlineLevel="0" collapsed="false">
      <c r="A15" s="2" t="s">
        <v>13</v>
      </c>
      <c r="B15" s="2"/>
      <c r="C15" s="2"/>
      <c r="D15" s="2"/>
      <c r="E15" s="2"/>
      <c r="F15" s="2"/>
    </row>
    <row r="16" customFormat="false" ht="15" hidden="false" customHeight="true" outlineLevel="0" collapsed="false">
      <c r="A16" s="2" t="s">
        <v>14</v>
      </c>
      <c r="B16" s="2"/>
      <c r="C16" s="2"/>
      <c r="D16" s="2"/>
      <c r="E16" s="2"/>
      <c r="F16" s="2"/>
    </row>
    <row r="17" customFormat="false" ht="15" hidden="false" customHeight="true" outlineLevel="0" collapsed="false">
      <c r="A17" s="2" t="s">
        <v>15</v>
      </c>
      <c r="B17" s="2"/>
      <c r="C17" s="2"/>
      <c r="D17" s="2"/>
      <c r="E17" s="2"/>
      <c r="F17" s="2"/>
    </row>
    <row r="18" customFormat="false" ht="15" hidden="false" customHeight="true" outlineLevel="0" collapsed="false">
      <c r="A18" s="2" t="s">
        <v>16</v>
      </c>
      <c r="B18" s="2"/>
      <c r="C18" s="2"/>
      <c r="D18" s="2"/>
      <c r="E18" s="2"/>
      <c r="F18" s="2"/>
    </row>
    <row r="19" customFormat="false" ht="15" hidden="false" customHeight="true" outlineLevel="0" collapsed="false">
      <c r="A19" s="2"/>
      <c r="B19" s="2"/>
      <c r="C19" s="2"/>
      <c r="D19" s="2"/>
      <c r="E19" s="2"/>
      <c r="F19" s="2"/>
    </row>
    <row r="20" customFormat="false" ht="15.75" hidden="false" customHeight="true" outlineLevel="0" collapsed="false">
      <c r="A20" s="3" t="s">
        <v>17</v>
      </c>
      <c r="B20" s="3"/>
      <c r="C20" s="3"/>
      <c r="D20" s="3"/>
      <c r="E20" s="3"/>
      <c r="F20" s="3"/>
    </row>
    <row r="21" customFormat="false" ht="15" hidden="false" customHeight="false" outlineLevel="0" collapsed="false">
      <c r="A21" s="7" t="s">
        <v>18</v>
      </c>
      <c r="B21" s="7" t="s">
        <v>19</v>
      </c>
      <c r="C21" s="7" t="s">
        <v>20</v>
      </c>
      <c r="D21" s="7" t="s">
        <v>21</v>
      </c>
    </row>
    <row r="22" customFormat="false" ht="15" hidden="false" customHeight="false" outlineLevel="0" collapsed="false">
      <c r="A22" s="8" t="s">
        <v>22</v>
      </c>
      <c r="B22" s="8" t="n">
        <f aca="false">COUNTIFS(Animals!$B:$B,$A22,Animals!$C:$C,"Male",Animals!$J:$J,"On farm")</f>
        <v>38</v>
      </c>
      <c r="C22" s="8" t="n">
        <f aca="false">COUNTIFS(Animals!$B:$B,$A22,Animals!$C:$C,"Female",Animals!$J:$J,"On farm")</f>
        <v>70</v>
      </c>
      <c r="D22" s="8" t="n">
        <f aca="false">B22+C22</f>
        <v>108</v>
      </c>
    </row>
    <row r="23" customFormat="false" ht="15" hidden="false" customHeight="false" outlineLevel="0" collapsed="false">
      <c r="A23" s="8" t="s">
        <v>23</v>
      </c>
      <c r="B23" s="8" t="n">
        <f aca="false">COUNTIFS(Animals!$B:$B,$A23,Animals!$C:$C,"Male",Animals!$J:$J,"On farm")</f>
        <v>26</v>
      </c>
      <c r="C23" s="8" t="n">
        <f aca="false">COUNTIFS(Animals!$B:$B,$A23,Animals!$C:$C,"Female",Animals!$J:$J,"On farm")</f>
        <v>65</v>
      </c>
      <c r="D23" s="8" t="n">
        <f aca="false">B23+C23</f>
        <v>91</v>
      </c>
    </row>
    <row r="24" customFormat="false" ht="15" hidden="false" customHeight="false" outlineLevel="0" collapsed="false">
      <c r="A24" s="8" t="s">
        <v>24</v>
      </c>
      <c r="B24" s="8" t="n">
        <f aca="false">COUNTIFS(Animals!$B:$B,$A24,Animals!$C:$C,"Male",Animals!$J:$J,"On farm")</f>
        <v>41</v>
      </c>
      <c r="C24" s="8" t="n">
        <f aca="false">COUNTIFS(Animals!$B:$B,$A24,Animals!$C:$C,"Female",Animals!$J:$J,"On farm")</f>
        <v>102</v>
      </c>
      <c r="D24" s="8" t="n">
        <f aca="false">B24+C24</f>
        <v>143</v>
      </c>
    </row>
    <row r="25" customFormat="false" ht="15" hidden="false" customHeight="false" outlineLevel="0" collapsed="false">
      <c r="A25" s="9" t="s">
        <v>21</v>
      </c>
      <c r="B25" s="9" t="n">
        <f aca="false">SUM(B22:B24)</f>
        <v>105</v>
      </c>
      <c r="C25" s="9" t="n">
        <f aca="false">SUM(C22:C24)</f>
        <v>237</v>
      </c>
      <c r="D25" s="9" t="n">
        <f aca="false">SUM(D22:D24)</f>
        <v>342</v>
      </c>
    </row>
    <row r="27" customFormat="false" ht="15" hidden="false" customHeight="false" outlineLevel="0" collapsed="false">
      <c r="A27" s="5" t="s">
        <v>25</v>
      </c>
      <c r="B27" s="5"/>
      <c r="C27" s="5"/>
      <c r="D27" s="5"/>
      <c r="E27" s="5"/>
      <c r="F27" s="5"/>
    </row>
  </sheetData>
  <mergeCells count="21">
    <mergeCell ref="A1:F1"/>
    <mergeCell ref="A2:F2"/>
    <mergeCell ref="A3:F3"/>
    <mergeCell ref="A4:F4"/>
    <mergeCell ref="B5:F5"/>
    <mergeCell ref="B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7:F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8"/>
    <col collapsed="false" customWidth="true" hidden="false" outlineLevel="0" max="4" min="4" style="0" width="20"/>
    <col collapsed="false" customWidth="true" hidden="false" outlineLevel="0" max="5" min="5" style="0" width="13"/>
    <col collapsed="false" customWidth="true" hidden="false" outlineLevel="0" max="6" min="6" style="0" width="14"/>
    <col collapsed="false" customWidth="true" hidden="false" outlineLevel="0" max="7" min="7" style="0" width="8"/>
    <col collapsed="false" customWidth="true" hidden="false" outlineLevel="0" max="8" min="8" style="0" width="13"/>
    <col collapsed="false" customWidth="true" hidden="false" outlineLevel="0" max="9" min="9" style="0" width="34"/>
    <col collapsed="false" customWidth="true" hidden="false" outlineLevel="0" max="10" min="10" style="0" width="22"/>
    <col collapsed="false" customWidth="true" hidden="false" outlineLevel="0" max="12" min="11" style="0" width="12"/>
    <col collapsed="false" customWidth="true" hidden="false" outlineLevel="0" max="13" min="13" style="0" width="11"/>
    <col collapsed="false" customWidth="true" hidden="false" outlineLevel="0" max="14" min="14" style="0" width="40"/>
  </cols>
  <sheetData>
    <row r="1" customFormat="false" ht="46.25" hidden="false" customHeight="false" outlineLevel="0" collapsed="false">
      <c r="A1" s="10" t="s">
        <v>26</v>
      </c>
      <c r="B1" s="10" t="s">
        <v>18</v>
      </c>
      <c r="C1" s="10" t="s">
        <v>27</v>
      </c>
      <c r="D1" s="10" t="s">
        <v>28</v>
      </c>
      <c r="E1" s="10" t="s">
        <v>29</v>
      </c>
      <c r="F1" s="10" t="s">
        <v>30</v>
      </c>
      <c r="G1" s="10" t="s">
        <v>31</v>
      </c>
      <c r="H1" s="10" t="s">
        <v>32</v>
      </c>
      <c r="I1" s="10" t="s">
        <v>33</v>
      </c>
      <c r="J1" s="10" t="s">
        <v>34</v>
      </c>
      <c r="K1" s="10" t="s">
        <v>35</v>
      </c>
      <c r="L1" s="10" t="s">
        <v>36</v>
      </c>
      <c r="M1" s="10" t="s">
        <v>37</v>
      </c>
      <c r="N1" s="10" t="s">
        <v>38</v>
      </c>
    </row>
    <row r="2" customFormat="false" ht="15" hidden="false" customHeight="false" outlineLevel="0" collapsed="false">
      <c r="A2" s="11" t="s">
        <v>39</v>
      </c>
      <c r="B2" s="12" t="s">
        <v>22</v>
      </c>
      <c r="C2" s="12" t="s">
        <v>20</v>
      </c>
      <c r="D2" s="13" t="s">
        <v>40</v>
      </c>
      <c r="E2" s="14" t="n">
        <v>43854</v>
      </c>
      <c r="F2" s="15" t="n">
        <f aca="false">ROUND((IF(K2="",DATE(2026,9,30),K2)-E2)/365.25,1)</f>
        <v>6.3</v>
      </c>
      <c r="G2" s="12"/>
      <c r="H2" s="16" t="n">
        <v>45658</v>
      </c>
      <c r="I2" s="12" t="s">
        <v>41</v>
      </c>
      <c r="J2" s="12" t="s">
        <v>42</v>
      </c>
      <c r="K2" s="17" t="n">
        <v>46137</v>
      </c>
      <c r="L2" s="12"/>
      <c r="M2" s="11" t="s">
        <v>43</v>
      </c>
      <c r="N2" s="12"/>
    </row>
    <row r="3" customFormat="false" ht="15" hidden="false" customHeight="false" outlineLevel="0" collapsed="false">
      <c r="A3" s="11" t="s">
        <v>44</v>
      </c>
      <c r="B3" s="12" t="s">
        <v>22</v>
      </c>
      <c r="C3" s="12" t="s">
        <v>20</v>
      </c>
      <c r="D3" s="13" t="s">
        <v>45</v>
      </c>
      <c r="E3" s="14" t="n">
        <v>44158</v>
      </c>
      <c r="F3" s="15" t="n">
        <f aca="false">ROUND((IF(K3="",DATE(2026,9,30),K3)-E3)/365.25,1)</f>
        <v>5.4</v>
      </c>
      <c r="G3" s="12"/>
      <c r="H3" s="16" t="n">
        <v>45658</v>
      </c>
      <c r="I3" s="12" t="s">
        <v>41</v>
      </c>
      <c r="J3" s="12" t="s">
        <v>42</v>
      </c>
      <c r="K3" s="17" t="n">
        <v>46139</v>
      </c>
      <c r="L3" s="12"/>
      <c r="M3" s="11" t="s">
        <v>43</v>
      </c>
      <c r="N3" s="12"/>
    </row>
    <row r="4" customFormat="false" ht="15" hidden="false" customHeight="false" outlineLevel="0" collapsed="false">
      <c r="A4" s="11" t="s">
        <v>46</v>
      </c>
      <c r="B4" s="12" t="s">
        <v>22</v>
      </c>
      <c r="C4" s="12" t="s">
        <v>20</v>
      </c>
      <c r="D4" s="13" t="s">
        <v>40</v>
      </c>
      <c r="E4" s="14" t="n">
        <v>45488</v>
      </c>
      <c r="F4" s="15" t="n">
        <f aca="false">ROUND((IF(K4="",DATE(2026,9,30),K4)-E4)/365.25,1)</f>
        <v>2.2</v>
      </c>
      <c r="G4" s="12"/>
      <c r="H4" s="16" t="n">
        <v>45658</v>
      </c>
      <c r="I4" s="12" t="s">
        <v>41</v>
      </c>
      <c r="J4" s="12" t="s">
        <v>47</v>
      </c>
      <c r="K4" s="12"/>
      <c r="L4" s="12"/>
      <c r="M4" s="11" t="s">
        <v>43</v>
      </c>
      <c r="N4" s="12"/>
    </row>
    <row r="5" customFormat="false" ht="15" hidden="false" customHeight="false" outlineLevel="0" collapsed="false">
      <c r="A5" s="11" t="s">
        <v>48</v>
      </c>
      <c r="B5" s="12" t="s">
        <v>22</v>
      </c>
      <c r="C5" s="12" t="s">
        <v>19</v>
      </c>
      <c r="D5" s="13" t="s">
        <v>40</v>
      </c>
      <c r="E5" s="16" t="n">
        <v>45729</v>
      </c>
      <c r="F5" s="15" t="n">
        <f aca="false">ROUND((IF(K5="",DATE(2026,9,30),K5)-E5)/365.25,1)</f>
        <v>1.5</v>
      </c>
      <c r="G5" s="12"/>
      <c r="H5" s="16" t="n">
        <v>45729</v>
      </c>
      <c r="I5" s="12" t="s">
        <v>49</v>
      </c>
      <c r="J5" s="12" t="s">
        <v>47</v>
      </c>
      <c r="K5" s="12"/>
      <c r="L5" s="13" t="s">
        <v>50</v>
      </c>
      <c r="M5" s="11" t="s">
        <v>43</v>
      </c>
      <c r="N5" s="12"/>
    </row>
    <row r="6" customFormat="false" ht="15" hidden="false" customHeight="false" outlineLevel="0" collapsed="false">
      <c r="A6" s="11" t="s">
        <v>51</v>
      </c>
      <c r="B6" s="12" t="s">
        <v>22</v>
      </c>
      <c r="C6" s="12" t="s">
        <v>20</v>
      </c>
      <c r="D6" s="13" t="s">
        <v>40</v>
      </c>
      <c r="E6" s="14" t="n">
        <v>45519</v>
      </c>
      <c r="F6" s="15" t="n">
        <f aca="false">ROUND((IF(K6="",DATE(2026,9,30),K6)-E6)/365.25,1)</f>
        <v>2.1</v>
      </c>
      <c r="G6" s="12"/>
      <c r="H6" s="16" t="n">
        <v>45658</v>
      </c>
      <c r="I6" s="12" t="s">
        <v>41</v>
      </c>
      <c r="J6" s="12" t="s">
        <v>47</v>
      </c>
      <c r="K6" s="12"/>
      <c r="L6" s="12"/>
      <c r="M6" s="11" t="s">
        <v>43</v>
      </c>
      <c r="N6" s="12"/>
    </row>
    <row r="7" customFormat="false" ht="15" hidden="false" customHeight="false" outlineLevel="0" collapsed="false">
      <c r="A7" s="11" t="s">
        <v>52</v>
      </c>
      <c r="B7" s="12" t="s">
        <v>22</v>
      </c>
      <c r="C7" s="12" t="s">
        <v>20</v>
      </c>
      <c r="D7" s="13" t="s">
        <v>53</v>
      </c>
      <c r="E7" s="14" t="n">
        <v>44379</v>
      </c>
      <c r="F7" s="15" t="n">
        <f aca="false">ROUND((IF(K7="",DATE(2026,9,30),K7)-E7)/365.25,1)</f>
        <v>5.2</v>
      </c>
      <c r="G7" s="12"/>
      <c r="H7" s="16" t="n">
        <v>45658</v>
      </c>
      <c r="I7" s="12" t="s">
        <v>41</v>
      </c>
      <c r="J7" s="12" t="s">
        <v>47</v>
      </c>
      <c r="K7" s="12"/>
      <c r="L7" s="12"/>
      <c r="M7" s="11" t="s">
        <v>43</v>
      </c>
      <c r="N7" s="12"/>
    </row>
    <row r="8" customFormat="false" ht="15" hidden="false" customHeight="false" outlineLevel="0" collapsed="false">
      <c r="A8" s="11" t="s">
        <v>54</v>
      </c>
      <c r="B8" s="12" t="s">
        <v>22</v>
      </c>
      <c r="C8" s="12" t="s">
        <v>19</v>
      </c>
      <c r="D8" s="13" t="s">
        <v>40</v>
      </c>
      <c r="E8" s="14" t="n">
        <v>45362</v>
      </c>
      <c r="F8" s="15" t="n">
        <f aca="false">ROUND((IF(K8="",DATE(2026,9,30),K8)-E8)/365.25,1)</f>
        <v>2</v>
      </c>
      <c r="G8" s="12"/>
      <c r="H8" s="16" t="n">
        <v>45658</v>
      </c>
      <c r="I8" s="12" t="s">
        <v>41</v>
      </c>
      <c r="J8" s="12" t="s">
        <v>55</v>
      </c>
      <c r="K8" s="17" t="n">
        <v>46099</v>
      </c>
      <c r="L8" s="12"/>
      <c r="M8" s="11" t="s">
        <v>43</v>
      </c>
      <c r="N8" s="12"/>
    </row>
    <row r="9" customFormat="false" ht="15" hidden="false" customHeight="false" outlineLevel="0" collapsed="false">
      <c r="A9" s="11" t="s">
        <v>56</v>
      </c>
      <c r="B9" s="12" t="s">
        <v>22</v>
      </c>
      <c r="C9" s="12" t="s">
        <v>20</v>
      </c>
      <c r="D9" s="13" t="s">
        <v>40</v>
      </c>
      <c r="E9" s="14" t="n">
        <v>43820</v>
      </c>
      <c r="F9" s="15" t="n">
        <f aca="false">ROUND((IF(K9="",DATE(2026,9,30),K9)-E9)/365.25,1)</f>
        <v>6.8</v>
      </c>
      <c r="G9" s="12"/>
      <c r="H9" s="16" t="n">
        <v>45658</v>
      </c>
      <c r="I9" s="12" t="s">
        <v>41</v>
      </c>
      <c r="J9" s="12" t="s">
        <v>47</v>
      </c>
      <c r="K9" s="12"/>
      <c r="L9" s="12"/>
      <c r="M9" s="11" t="s">
        <v>43</v>
      </c>
      <c r="N9" s="12"/>
    </row>
    <row r="10" customFormat="false" ht="15" hidden="false" customHeight="false" outlineLevel="0" collapsed="false">
      <c r="A10" s="11" t="s">
        <v>57</v>
      </c>
      <c r="B10" s="12" t="s">
        <v>22</v>
      </c>
      <c r="C10" s="12" t="s">
        <v>19</v>
      </c>
      <c r="D10" s="13" t="s">
        <v>45</v>
      </c>
      <c r="E10" s="14" t="n">
        <v>43446</v>
      </c>
      <c r="F10" s="15" t="n">
        <f aca="false">ROUND((IF(K10="",DATE(2026,9,30),K10)-E10)/365.25,1)</f>
        <v>7.3</v>
      </c>
      <c r="G10" s="12"/>
      <c r="H10" s="16" t="n">
        <v>45658</v>
      </c>
      <c r="I10" s="12" t="s">
        <v>41</v>
      </c>
      <c r="J10" s="12" t="s">
        <v>55</v>
      </c>
      <c r="K10" s="17" t="n">
        <v>46113</v>
      </c>
      <c r="L10" s="12"/>
      <c r="M10" s="11" t="s">
        <v>43</v>
      </c>
      <c r="N10" s="12" t="s">
        <v>58</v>
      </c>
    </row>
    <row r="11" customFormat="false" ht="15" hidden="false" customHeight="false" outlineLevel="0" collapsed="false">
      <c r="A11" s="11" t="s">
        <v>59</v>
      </c>
      <c r="B11" s="12" t="s">
        <v>22</v>
      </c>
      <c r="C11" s="12" t="s">
        <v>20</v>
      </c>
      <c r="D11" s="13" t="s">
        <v>40</v>
      </c>
      <c r="E11" s="16" t="n">
        <v>45968</v>
      </c>
      <c r="F11" s="15" t="n">
        <f aca="false">ROUND((IF(K11="",DATE(2026,9,30),K11)-E11)/365.25,1)</f>
        <v>0.9</v>
      </c>
      <c r="G11" s="12"/>
      <c r="H11" s="16" t="n">
        <v>45968</v>
      </c>
      <c r="I11" s="12" t="s">
        <v>49</v>
      </c>
      <c r="J11" s="12" t="s">
        <v>47</v>
      </c>
      <c r="K11" s="12"/>
      <c r="L11" s="13" t="s">
        <v>60</v>
      </c>
      <c r="M11" s="11" t="s">
        <v>43</v>
      </c>
      <c r="N11" s="12"/>
    </row>
    <row r="12" customFormat="false" ht="15" hidden="false" customHeight="false" outlineLevel="0" collapsed="false">
      <c r="A12" s="11" t="s">
        <v>61</v>
      </c>
      <c r="B12" s="12" t="s">
        <v>22</v>
      </c>
      <c r="C12" s="12" t="s">
        <v>19</v>
      </c>
      <c r="D12" s="13" t="s">
        <v>40</v>
      </c>
      <c r="E12" s="14" t="n">
        <v>45424</v>
      </c>
      <c r="F12" s="15" t="n">
        <f aca="false">ROUND((IF(K12="",DATE(2026,9,30),K12)-E12)/365.25,1)</f>
        <v>1.9</v>
      </c>
      <c r="G12" s="12"/>
      <c r="H12" s="16" t="n">
        <v>45658</v>
      </c>
      <c r="I12" s="12" t="s">
        <v>41</v>
      </c>
      <c r="J12" s="12" t="s">
        <v>55</v>
      </c>
      <c r="K12" s="17" t="n">
        <v>46112</v>
      </c>
      <c r="L12" s="12"/>
      <c r="M12" s="11" t="s">
        <v>43</v>
      </c>
      <c r="N12" s="12"/>
    </row>
    <row r="13" customFormat="false" ht="15" hidden="false" customHeight="false" outlineLevel="0" collapsed="false">
      <c r="A13" s="11" t="s">
        <v>62</v>
      </c>
      <c r="B13" s="12" t="s">
        <v>22</v>
      </c>
      <c r="C13" s="12" t="s">
        <v>19</v>
      </c>
      <c r="D13" s="13" t="s">
        <v>53</v>
      </c>
      <c r="E13" s="14" t="n">
        <v>45473</v>
      </c>
      <c r="F13" s="15" t="n">
        <f aca="false">ROUND((IF(K13="",DATE(2026,9,30),K13)-E13)/365.25,1)</f>
        <v>2.3</v>
      </c>
      <c r="G13" s="12"/>
      <c r="H13" s="16" t="n">
        <v>45658</v>
      </c>
      <c r="I13" s="12" t="s">
        <v>41</v>
      </c>
      <c r="J13" s="12" t="s">
        <v>47</v>
      </c>
      <c r="K13" s="12"/>
      <c r="L13" s="12"/>
      <c r="M13" s="11" t="s">
        <v>43</v>
      </c>
      <c r="N13" s="12"/>
    </row>
    <row r="14" customFormat="false" ht="15" hidden="false" customHeight="false" outlineLevel="0" collapsed="false">
      <c r="A14" s="11" t="s">
        <v>63</v>
      </c>
      <c r="B14" s="12" t="s">
        <v>22</v>
      </c>
      <c r="C14" s="12" t="s">
        <v>20</v>
      </c>
      <c r="D14" s="13" t="s">
        <v>40</v>
      </c>
      <c r="E14" s="14" t="n">
        <v>44399</v>
      </c>
      <c r="F14" s="15" t="n">
        <f aca="false">ROUND((IF(K14="",DATE(2026,9,30),K14)-E14)/365.25,1)</f>
        <v>5.2</v>
      </c>
      <c r="G14" s="12"/>
      <c r="H14" s="16" t="n">
        <v>45658</v>
      </c>
      <c r="I14" s="12" t="s">
        <v>41</v>
      </c>
      <c r="J14" s="12" t="s">
        <v>47</v>
      </c>
      <c r="K14" s="12"/>
      <c r="L14" s="12"/>
      <c r="M14" s="11" t="s">
        <v>43</v>
      </c>
      <c r="N14" s="12"/>
    </row>
    <row r="15" customFormat="false" ht="15" hidden="false" customHeight="false" outlineLevel="0" collapsed="false">
      <c r="A15" s="11" t="s">
        <v>64</v>
      </c>
      <c r="B15" s="12" t="s">
        <v>22</v>
      </c>
      <c r="C15" s="12" t="s">
        <v>19</v>
      </c>
      <c r="D15" s="13" t="s">
        <v>53</v>
      </c>
      <c r="E15" s="16" t="n">
        <v>46019</v>
      </c>
      <c r="F15" s="15" t="n">
        <f aca="false">ROUND((IF(K15="",DATE(2026,9,30),K15)-E15)/365.25,1)</f>
        <v>0.8</v>
      </c>
      <c r="G15" s="12"/>
      <c r="H15" s="16" t="n">
        <v>46019</v>
      </c>
      <c r="I15" s="12" t="s">
        <v>49</v>
      </c>
      <c r="J15" s="12" t="s">
        <v>47</v>
      </c>
      <c r="K15" s="12"/>
      <c r="L15" s="13" t="s">
        <v>65</v>
      </c>
      <c r="M15" s="11" t="s">
        <v>43</v>
      </c>
      <c r="N15" s="12"/>
    </row>
    <row r="16" customFormat="false" ht="15" hidden="false" customHeight="false" outlineLevel="0" collapsed="false">
      <c r="A16" s="11" t="s">
        <v>66</v>
      </c>
      <c r="B16" s="12" t="s">
        <v>22</v>
      </c>
      <c r="C16" s="12" t="s">
        <v>19</v>
      </c>
      <c r="D16" s="13" t="s">
        <v>45</v>
      </c>
      <c r="E16" s="14" t="n">
        <v>44687</v>
      </c>
      <c r="F16" s="15" t="n">
        <f aca="false">ROUND((IF(K16="",DATE(2026,9,30),K16)-E16)/365.25,1)</f>
        <v>3.9</v>
      </c>
      <c r="G16" s="12"/>
      <c r="H16" s="16" t="n">
        <v>45658</v>
      </c>
      <c r="I16" s="12" t="s">
        <v>41</v>
      </c>
      <c r="J16" s="12" t="s">
        <v>55</v>
      </c>
      <c r="K16" s="17" t="n">
        <v>46111</v>
      </c>
      <c r="L16" s="12"/>
      <c r="M16" s="11" t="s">
        <v>43</v>
      </c>
      <c r="N16" s="12"/>
    </row>
    <row r="17" customFormat="false" ht="15" hidden="false" customHeight="false" outlineLevel="0" collapsed="false">
      <c r="A17" s="11" t="s">
        <v>67</v>
      </c>
      <c r="B17" s="12" t="s">
        <v>22</v>
      </c>
      <c r="C17" s="12" t="s">
        <v>19</v>
      </c>
      <c r="D17" s="13" t="s">
        <v>40</v>
      </c>
      <c r="E17" s="16" t="n">
        <v>45976</v>
      </c>
      <c r="F17" s="15" t="n">
        <f aca="false">ROUND((IF(K17="",DATE(2026,9,30),K17)-E17)/365.25,1)</f>
        <v>0.4</v>
      </c>
      <c r="G17" s="12"/>
      <c r="H17" s="16" t="n">
        <v>45976</v>
      </c>
      <c r="I17" s="12" t="s">
        <v>49</v>
      </c>
      <c r="J17" s="12" t="s">
        <v>42</v>
      </c>
      <c r="K17" s="17" t="n">
        <v>46137</v>
      </c>
      <c r="L17" s="13" t="s">
        <v>68</v>
      </c>
      <c r="M17" s="11" t="s">
        <v>43</v>
      </c>
      <c r="N17" s="12"/>
    </row>
    <row r="18" customFormat="false" ht="15" hidden="false" customHeight="false" outlineLevel="0" collapsed="false">
      <c r="A18" s="13" t="s">
        <v>69</v>
      </c>
      <c r="B18" s="12" t="s">
        <v>22</v>
      </c>
      <c r="C18" s="12" t="s">
        <v>19</v>
      </c>
      <c r="D18" s="13" t="s">
        <v>45</v>
      </c>
      <c r="E18" s="14" t="n">
        <v>44463</v>
      </c>
      <c r="F18" s="15" t="n">
        <f aca="false">ROUND((IF(K18="",DATE(2026,9,30),K18)-E18)/365.25,1)</f>
        <v>4.2</v>
      </c>
      <c r="G18" s="12"/>
      <c r="H18" s="16" t="n">
        <v>45658</v>
      </c>
      <c r="I18" s="12" t="s">
        <v>41</v>
      </c>
      <c r="J18" s="12" t="s">
        <v>42</v>
      </c>
      <c r="K18" s="17" t="n">
        <v>45986</v>
      </c>
      <c r="L18" s="12"/>
      <c r="M18" s="12" t="s">
        <v>70</v>
      </c>
      <c r="N18" s="12"/>
    </row>
    <row r="19" customFormat="false" ht="15" hidden="false" customHeight="false" outlineLevel="0" collapsed="false">
      <c r="A19" s="13" t="s">
        <v>71</v>
      </c>
      <c r="B19" s="12" t="s">
        <v>22</v>
      </c>
      <c r="C19" s="12" t="s">
        <v>19</v>
      </c>
      <c r="D19" s="13" t="s">
        <v>45</v>
      </c>
      <c r="E19" s="14" t="n">
        <v>42489</v>
      </c>
      <c r="F19" s="15" t="n">
        <f aca="false">ROUND((IF(K19="",DATE(2026,9,30),K19)-E19)/365.25,1)</f>
        <v>9.2</v>
      </c>
      <c r="G19" s="12"/>
      <c r="H19" s="16" t="n">
        <v>45658</v>
      </c>
      <c r="I19" s="12" t="s">
        <v>41</v>
      </c>
      <c r="J19" s="12" t="s">
        <v>55</v>
      </c>
      <c r="K19" s="17" t="n">
        <v>45838</v>
      </c>
      <c r="L19" s="12"/>
      <c r="M19" s="12" t="s">
        <v>70</v>
      </c>
      <c r="N19" s="12"/>
    </row>
    <row r="20" customFormat="false" ht="15" hidden="false" customHeight="false" outlineLevel="0" collapsed="false">
      <c r="A20" s="13" t="s">
        <v>72</v>
      </c>
      <c r="B20" s="12" t="s">
        <v>22</v>
      </c>
      <c r="C20" s="12" t="s">
        <v>19</v>
      </c>
      <c r="D20" s="13" t="s">
        <v>40</v>
      </c>
      <c r="E20" s="14" t="n">
        <v>42706</v>
      </c>
      <c r="F20" s="15" t="n">
        <f aca="false">ROUND((IF(K20="",DATE(2026,9,30),K20)-E20)/365.25,1)</f>
        <v>8.9</v>
      </c>
      <c r="G20" s="12"/>
      <c r="H20" s="16" t="n">
        <v>45658</v>
      </c>
      <c r="I20" s="12" t="s">
        <v>41</v>
      </c>
      <c r="J20" s="12" t="s">
        <v>55</v>
      </c>
      <c r="K20" s="17" t="n">
        <v>45947</v>
      </c>
      <c r="L20" s="12"/>
      <c r="M20" s="12" t="s">
        <v>70</v>
      </c>
      <c r="N20" s="12"/>
    </row>
    <row r="21" customFormat="false" ht="15" hidden="false" customHeight="false" outlineLevel="0" collapsed="false">
      <c r="A21" s="13" t="s">
        <v>73</v>
      </c>
      <c r="B21" s="12" t="s">
        <v>22</v>
      </c>
      <c r="C21" s="12" t="s">
        <v>19</v>
      </c>
      <c r="D21" s="13" t="s">
        <v>45</v>
      </c>
      <c r="E21" s="14" t="n">
        <v>42648</v>
      </c>
      <c r="F21" s="15" t="n">
        <f aca="false">ROUND((IF(K21="",DATE(2026,9,30),K21)-E21)/365.25,1)</f>
        <v>9</v>
      </c>
      <c r="G21" s="12"/>
      <c r="H21" s="16" t="n">
        <v>45658</v>
      </c>
      <c r="I21" s="12" t="s">
        <v>41</v>
      </c>
      <c r="J21" s="12" t="s">
        <v>55</v>
      </c>
      <c r="K21" s="17" t="n">
        <v>45945</v>
      </c>
      <c r="L21" s="12"/>
      <c r="M21" s="12" t="s">
        <v>70</v>
      </c>
      <c r="N21" s="12"/>
    </row>
    <row r="22" customFormat="false" ht="15" hidden="false" customHeight="false" outlineLevel="0" collapsed="false">
      <c r="A22" s="13" t="s">
        <v>74</v>
      </c>
      <c r="B22" s="12" t="s">
        <v>22</v>
      </c>
      <c r="C22" s="12" t="s">
        <v>19</v>
      </c>
      <c r="D22" s="13" t="s">
        <v>53</v>
      </c>
      <c r="E22" s="14" t="n">
        <v>43272</v>
      </c>
      <c r="F22" s="15" t="n">
        <f aca="false">ROUND((IF(K22="",DATE(2026,9,30),K22)-E22)/365.25,1)</f>
        <v>7.3</v>
      </c>
      <c r="G22" s="12"/>
      <c r="H22" s="16" t="n">
        <v>45658</v>
      </c>
      <c r="I22" s="12" t="s">
        <v>41</v>
      </c>
      <c r="J22" s="12" t="s">
        <v>55</v>
      </c>
      <c r="K22" s="17" t="n">
        <v>45944</v>
      </c>
      <c r="L22" s="12"/>
      <c r="M22" s="12" t="s">
        <v>70</v>
      </c>
      <c r="N22" s="12"/>
    </row>
    <row r="23" customFormat="false" ht="15" hidden="false" customHeight="false" outlineLevel="0" collapsed="false">
      <c r="A23" s="13" t="s">
        <v>75</v>
      </c>
      <c r="B23" s="12" t="s">
        <v>22</v>
      </c>
      <c r="C23" s="12" t="s">
        <v>19</v>
      </c>
      <c r="D23" s="13" t="s">
        <v>45</v>
      </c>
      <c r="E23" s="14" t="n">
        <v>42887</v>
      </c>
      <c r="F23" s="15" t="n">
        <f aca="false">ROUND((IF(K23="",DATE(2026,9,30),K23)-E23)/365.25,1)</f>
        <v>7.6</v>
      </c>
      <c r="G23" s="12"/>
      <c r="H23" s="16" t="n">
        <v>45658</v>
      </c>
      <c r="I23" s="12" t="s">
        <v>41</v>
      </c>
      <c r="J23" s="12" t="s">
        <v>42</v>
      </c>
      <c r="K23" s="17" t="n">
        <v>45665</v>
      </c>
      <c r="L23" s="12"/>
      <c r="M23" s="12" t="s">
        <v>70</v>
      </c>
      <c r="N23" s="12"/>
    </row>
    <row r="24" customFormat="false" ht="15" hidden="false" customHeight="false" outlineLevel="0" collapsed="false">
      <c r="A24" s="13" t="s">
        <v>76</v>
      </c>
      <c r="B24" s="12" t="s">
        <v>22</v>
      </c>
      <c r="C24" s="12" t="s">
        <v>19</v>
      </c>
      <c r="D24" s="13" t="s">
        <v>53</v>
      </c>
      <c r="E24" s="14" t="n">
        <v>42747</v>
      </c>
      <c r="F24" s="15" t="n">
        <f aca="false">ROUND((IF(K24="",DATE(2026,9,30),K24)-E24)/365.25,1)</f>
        <v>8.5</v>
      </c>
      <c r="G24" s="12"/>
      <c r="H24" s="16" t="n">
        <v>45658</v>
      </c>
      <c r="I24" s="12" t="s">
        <v>41</v>
      </c>
      <c r="J24" s="12" t="s">
        <v>55</v>
      </c>
      <c r="K24" s="17" t="n">
        <v>45838</v>
      </c>
      <c r="L24" s="12"/>
      <c r="M24" s="12" t="s">
        <v>70</v>
      </c>
      <c r="N24" s="12"/>
    </row>
    <row r="25" customFormat="false" ht="15" hidden="false" customHeight="false" outlineLevel="0" collapsed="false">
      <c r="A25" s="13" t="s">
        <v>77</v>
      </c>
      <c r="B25" s="12" t="s">
        <v>22</v>
      </c>
      <c r="C25" s="12" t="s">
        <v>19</v>
      </c>
      <c r="D25" s="13" t="s">
        <v>45</v>
      </c>
      <c r="E25" s="14" t="n">
        <v>42964</v>
      </c>
      <c r="F25" s="15" t="n">
        <f aca="false">ROUND((IF(K25="",DATE(2026,9,30),K25)-E25)/365.25,1)</f>
        <v>7.9</v>
      </c>
      <c r="G25" s="12"/>
      <c r="H25" s="16" t="n">
        <v>45658</v>
      </c>
      <c r="I25" s="12" t="s">
        <v>41</v>
      </c>
      <c r="J25" s="12" t="s">
        <v>55</v>
      </c>
      <c r="K25" s="17" t="n">
        <v>45838</v>
      </c>
      <c r="L25" s="12"/>
      <c r="M25" s="12" t="s">
        <v>70</v>
      </c>
      <c r="N25" s="12"/>
    </row>
    <row r="26" customFormat="false" ht="15" hidden="false" customHeight="false" outlineLevel="0" collapsed="false">
      <c r="A26" s="13" t="s">
        <v>78</v>
      </c>
      <c r="B26" s="12" t="s">
        <v>22</v>
      </c>
      <c r="C26" s="12" t="s">
        <v>19</v>
      </c>
      <c r="D26" s="13" t="s">
        <v>40</v>
      </c>
      <c r="E26" s="14" t="n">
        <v>43700</v>
      </c>
      <c r="F26" s="15" t="n">
        <f aca="false">ROUND((IF(K26="",DATE(2026,9,30),K26)-E26)/365.25,1)</f>
        <v>5.9</v>
      </c>
      <c r="G26" s="12"/>
      <c r="H26" s="16" t="n">
        <v>45658</v>
      </c>
      <c r="I26" s="12" t="s">
        <v>41</v>
      </c>
      <c r="J26" s="12" t="s">
        <v>55</v>
      </c>
      <c r="K26" s="17" t="n">
        <v>45838</v>
      </c>
      <c r="L26" s="12"/>
      <c r="M26" s="12" t="s">
        <v>70</v>
      </c>
      <c r="N26" s="12"/>
    </row>
    <row r="27" customFormat="false" ht="15" hidden="false" customHeight="false" outlineLevel="0" collapsed="false">
      <c r="A27" s="13" t="s">
        <v>79</v>
      </c>
      <c r="B27" s="12" t="s">
        <v>22</v>
      </c>
      <c r="C27" s="12" t="s">
        <v>19</v>
      </c>
      <c r="D27" s="13" t="s">
        <v>40</v>
      </c>
      <c r="E27" s="14" t="n">
        <v>43289</v>
      </c>
      <c r="F27" s="15" t="n">
        <f aca="false">ROUND((IF(K27="",DATE(2026,9,30),K27)-E27)/365.25,1)</f>
        <v>6.7</v>
      </c>
      <c r="G27" s="12"/>
      <c r="H27" s="16" t="n">
        <v>45658</v>
      </c>
      <c r="I27" s="12" t="s">
        <v>41</v>
      </c>
      <c r="J27" s="12" t="s">
        <v>55</v>
      </c>
      <c r="K27" s="17" t="n">
        <v>45728</v>
      </c>
      <c r="L27" s="12"/>
      <c r="M27" s="12" t="s">
        <v>70</v>
      </c>
      <c r="N27" s="12"/>
    </row>
    <row r="28" customFormat="false" ht="15" hidden="false" customHeight="false" outlineLevel="0" collapsed="false">
      <c r="A28" s="13" t="s">
        <v>80</v>
      </c>
      <c r="B28" s="12" t="s">
        <v>22</v>
      </c>
      <c r="C28" s="12" t="s">
        <v>19</v>
      </c>
      <c r="D28" s="13" t="s">
        <v>40</v>
      </c>
      <c r="E28" s="14" t="n">
        <v>44065</v>
      </c>
      <c r="F28" s="15" t="n">
        <f aca="false">ROUND((IF(K28="",DATE(2026,9,30),K28)-E28)/365.25,1)</f>
        <v>5.6</v>
      </c>
      <c r="G28" s="12"/>
      <c r="H28" s="16" t="n">
        <v>45658</v>
      </c>
      <c r="I28" s="12" t="s">
        <v>41</v>
      </c>
      <c r="J28" s="12" t="s">
        <v>81</v>
      </c>
      <c r="K28" s="17" t="n">
        <v>46106</v>
      </c>
      <c r="L28" s="12"/>
      <c r="M28" s="12" t="s">
        <v>70</v>
      </c>
      <c r="N28" s="12"/>
    </row>
    <row r="29" customFormat="false" ht="15" hidden="false" customHeight="false" outlineLevel="0" collapsed="false">
      <c r="A29" s="13" t="s">
        <v>82</v>
      </c>
      <c r="B29" s="12" t="s">
        <v>22</v>
      </c>
      <c r="C29" s="12" t="s">
        <v>19</v>
      </c>
      <c r="D29" s="13" t="s">
        <v>45</v>
      </c>
      <c r="E29" s="14" t="n">
        <v>43679</v>
      </c>
      <c r="F29" s="15" t="n">
        <f aca="false">ROUND((IF(K29="",DATE(2026,9,30),K29)-E29)/365.25,1)</f>
        <v>5.9</v>
      </c>
      <c r="G29" s="12"/>
      <c r="H29" s="16" t="n">
        <v>45658</v>
      </c>
      <c r="I29" s="12" t="s">
        <v>41</v>
      </c>
      <c r="J29" s="12" t="s">
        <v>55</v>
      </c>
      <c r="K29" s="17" t="n">
        <v>45838</v>
      </c>
      <c r="L29" s="12"/>
      <c r="M29" s="12" t="s">
        <v>70</v>
      </c>
      <c r="N29" s="12"/>
    </row>
    <row r="30" customFormat="false" ht="15" hidden="false" customHeight="false" outlineLevel="0" collapsed="false">
      <c r="A30" s="13" t="s">
        <v>83</v>
      </c>
      <c r="B30" s="12" t="s">
        <v>22</v>
      </c>
      <c r="C30" s="12" t="s">
        <v>19</v>
      </c>
      <c r="D30" s="13" t="s">
        <v>53</v>
      </c>
      <c r="E30" s="14" t="n">
        <v>43583</v>
      </c>
      <c r="F30" s="15" t="n">
        <f aca="false">ROUND((IF(K30="",DATE(2026,9,30),K30)-E30)/365.25,1)</f>
        <v>6</v>
      </c>
      <c r="G30" s="12"/>
      <c r="H30" s="16" t="n">
        <v>45658</v>
      </c>
      <c r="I30" s="12" t="s">
        <v>41</v>
      </c>
      <c r="J30" s="12" t="s">
        <v>42</v>
      </c>
      <c r="K30" s="17" t="n">
        <v>45757</v>
      </c>
      <c r="L30" s="12"/>
      <c r="M30" s="12" t="s">
        <v>70</v>
      </c>
      <c r="N30" s="12"/>
    </row>
    <row r="31" customFormat="false" ht="15" hidden="false" customHeight="false" outlineLevel="0" collapsed="false">
      <c r="A31" s="13" t="s">
        <v>84</v>
      </c>
      <c r="B31" s="12" t="s">
        <v>22</v>
      </c>
      <c r="C31" s="12" t="s">
        <v>19</v>
      </c>
      <c r="D31" s="13" t="s">
        <v>53</v>
      </c>
      <c r="E31" s="14" t="n">
        <v>44247</v>
      </c>
      <c r="F31" s="15" t="n">
        <f aca="false">ROUND((IF(K31="",DATE(2026,9,30),K31)-E31)/365.25,1)</f>
        <v>4.7</v>
      </c>
      <c r="G31" s="12"/>
      <c r="H31" s="16" t="n">
        <v>45658</v>
      </c>
      <c r="I31" s="12" t="s">
        <v>41</v>
      </c>
      <c r="J31" s="12" t="s">
        <v>55</v>
      </c>
      <c r="K31" s="17" t="n">
        <v>45954</v>
      </c>
      <c r="L31" s="12"/>
      <c r="M31" s="12" t="s">
        <v>70</v>
      </c>
      <c r="N31" s="12"/>
    </row>
    <row r="32" customFormat="false" ht="15" hidden="false" customHeight="false" outlineLevel="0" collapsed="false">
      <c r="A32" s="13" t="s">
        <v>85</v>
      </c>
      <c r="B32" s="12" t="s">
        <v>22</v>
      </c>
      <c r="C32" s="12" t="s">
        <v>19</v>
      </c>
      <c r="D32" s="13" t="s">
        <v>53</v>
      </c>
      <c r="E32" s="14" t="n">
        <v>43921</v>
      </c>
      <c r="F32" s="15" t="n">
        <f aca="false">ROUND((IF(K32="",DATE(2026,9,30),K32)-E32)/365.25,1)</f>
        <v>6.5</v>
      </c>
      <c r="G32" s="12"/>
      <c r="H32" s="16" t="n">
        <v>45658</v>
      </c>
      <c r="I32" s="12" t="s">
        <v>41</v>
      </c>
      <c r="J32" s="12" t="s">
        <v>47</v>
      </c>
      <c r="K32" s="12"/>
      <c r="L32" s="12"/>
      <c r="M32" s="12" t="s">
        <v>70</v>
      </c>
      <c r="N32" s="12"/>
    </row>
    <row r="33" customFormat="false" ht="15" hidden="false" customHeight="false" outlineLevel="0" collapsed="false">
      <c r="A33" s="13" t="s">
        <v>86</v>
      </c>
      <c r="B33" s="12" t="s">
        <v>22</v>
      </c>
      <c r="C33" s="12" t="s">
        <v>19</v>
      </c>
      <c r="D33" s="13" t="s">
        <v>45</v>
      </c>
      <c r="E33" s="14" t="n">
        <v>42836</v>
      </c>
      <c r="F33" s="15" t="n">
        <f aca="false">ROUND((IF(K33="",DATE(2026,9,30),K33)-E33)/365.25,1)</f>
        <v>8.2</v>
      </c>
      <c r="G33" s="12"/>
      <c r="H33" s="16" t="n">
        <v>45658</v>
      </c>
      <c r="I33" s="12" t="s">
        <v>41</v>
      </c>
      <c r="J33" s="12" t="s">
        <v>55</v>
      </c>
      <c r="K33" s="17" t="n">
        <v>45838</v>
      </c>
      <c r="L33" s="12"/>
      <c r="M33" s="12" t="s">
        <v>70</v>
      </c>
      <c r="N33" s="12"/>
    </row>
    <row r="34" customFormat="false" ht="15" hidden="false" customHeight="false" outlineLevel="0" collapsed="false">
      <c r="A34" s="13" t="s">
        <v>87</v>
      </c>
      <c r="B34" s="12" t="s">
        <v>22</v>
      </c>
      <c r="C34" s="12" t="s">
        <v>19</v>
      </c>
      <c r="D34" s="13" t="s">
        <v>40</v>
      </c>
      <c r="E34" s="14" t="n">
        <v>43528</v>
      </c>
      <c r="F34" s="15" t="n">
        <f aca="false">ROUND((IF(K34="",DATE(2026,9,30),K34)-E34)/365.25,1)</f>
        <v>6.2</v>
      </c>
      <c r="G34" s="12"/>
      <c r="H34" s="16" t="n">
        <v>45658</v>
      </c>
      <c r="I34" s="12" t="s">
        <v>41</v>
      </c>
      <c r="J34" s="12" t="s">
        <v>42</v>
      </c>
      <c r="K34" s="17" t="n">
        <v>45805</v>
      </c>
      <c r="L34" s="12"/>
      <c r="M34" s="12" t="s">
        <v>70</v>
      </c>
      <c r="N34" s="12"/>
    </row>
    <row r="35" customFormat="false" ht="15" hidden="false" customHeight="false" outlineLevel="0" collapsed="false">
      <c r="A35" s="13" t="s">
        <v>88</v>
      </c>
      <c r="B35" s="12" t="s">
        <v>22</v>
      </c>
      <c r="C35" s="12" t="s">
        <v>19</v>
      </c>
      <c r="D35" s="13" t="s">
        <v>40</v>
      </c>
      <c r="E35" s="14" t="n">
        <v>43030</v>
      </c>
      <c r="F35" s="15" t="n">
        <f aca="false">ROUND((IF(K35="",DATE(2026,9,30),K35)-E35)/365.25,1)</f>
        <v>7.7</v>
      </c>
      <c r="G35" s="12"/>
      <c r="H35" s="16" t="n">
        <v>45658</v>
      </c>
      <c r="I35" s="12" t="s">
        <v>41</v>
      </c>
      <c r="J35" s="12" t="s">
        <v>55</v>
      </c>
      <c r="K35" s="17" t="n">
        <v>45838</v>
      </c>
      <c r="L35" s="12"/>
      <c r="M35" s="12" t="s">
        <v>70</v>
      </c>
      <c r="N35" s="12"/>
    </row>
    <row r="36" customFormat="false" ht="15" hidden="false" customHeight="false" outlineLevel="0" collapsed="false">
      <c r="A36" s="13" t="s">
        <v>89</v>
      </c>
      <c r="B36" s="12" t="s">
        <v>22</v>
      </c>
      <c r="C36" s="12" t="s">
        <v>19</v>
      </c>
      <c r="D36" s="13" t="s">
        <v>53</v>
      </c>
      <c r="E36" s="14" t="n">
        <v>43423</v>
      </c>
      <c r="F36" s="15" t="n">
        <f aca="false">ROUND((IF(K36="",DATE(2026,9,30),K36)-E36)/365.25,1)</f>
        <v>6.9</v>
      </c>
      <c r="G36" s="12"/>
      <c r="H36" s="16" t="n">
        <v>45658</v>
      </c>
      <c r="I36" s="12" t="s">
        <v>41</v>
      </c>
      <c r="J36" s="12" t="s">
        <v>55</v>
      </c>
      <c r="K36" s="17" t="n">
        <v>45945</v>
      </c>
      <c r="L36" s="12"/>
      <c r="M36" s="12" t="s">
        <v>70</v>
      </c>
      <c r="N36" s="12"/>
    </row>
    <row r="37" customFormat="false" ht="15" hidden="false" customHeight="false" outlineLevel="0" collapsed="false">
      <c r="A37" s="13" t="s">
        <v>90</v>
      </c>
      <c r="B37" s="12" t="s">
        <v>22</v>
      </c>
      <c r="C37" s="12" t="s">
        <v>19</v>
      </c>
      <c r="D37" s="13" t="s">
        <v>40</v>
      </c>
      <c r="E37" s="14" t="n">
        <v>44064</v>
      </c>
      <c r="F37" s="15" t="n">
        <f aca="false">ROUND((IF(K37="",DATE(2026,9,30),K37)-E37)/365.25,1)</f>
        <v>5.2</v>
      </c>
      <c r="G37" s="12"/>
      <c r="H37" s="16" t="n">
        <v>45658</v>
      </c>
      <c r="I37" s="12" t="s">
        <v>41</v>
      </c>
      <c r="J37" s="12" t="s">
        <v>55</v>
      </c>
      <c r="K37" s="17" t="n">
        <v>45954</v>
      </c>
      <c r="L37" s="12"/>
      <c r="M37" s="12" t="s">
        <v>70</v>
      </c>
      <c r="N37" s="12"/>
    </row>
    <row r="38" customFormat="false" ht="15" hidden="false" customHeight="false" outlineLevel="0" collapsed="false">
      <c r="A38" s="13" t="s">
        <v>91</v>
      </c>
      <c r="B38" s="12" t="s">
        <v>22</v>
      </c>
      <c r="C38" s="12" t="s">
        <v>19</v>
      </c>
      <c r="D38" s="13" t="s">
        <v>45</v>
      </c>
      <c r="E38" s="14" t="n">
        <v>42667</v>
      </c>
      <c r="F38" s="15" t="n">
        <f aca="false">ROUND((IF(K38="",DATE(2026,9,30),K38)-E38)/365.25,1)</f>
        <v>9.9</v>
      </c>
      <c r="G38" s="12"/>
      <c r="H38" s="16" t="n">
        <v>45658</v>
      </c>
      <c r="I38" s="12" t="s">
        <v>41</v>
      </c>
      <c r="J38" s="12" t="s">
        <v>47</v>
      </c>
      <c r="K38" s="12"/>
      <c r="L38" s="12"/>
      <c r="M38" s="12" t="s">
        <v>70</v>
      </c>
      <c r="N38" s="12"/>
    </row>
    <row r="39" customFormat="false" ht="15" hidden="false" customHeight="false" outlineLevel="0" collapsed="false">
      <c r="A39" s="13" t="s">
        <v>92</v>
      </c>
      <c r="B39" s="12" t="s">
        <v>22</v>
      </c>
      <c r="C39" s="12" t="s">
        <v>19</v>
      </c>
      <c r="D39" s="13" t="s">
        <v>53</v>
      </c>
      <c r="E39" s="14" t="n">
        <v>43046</v>
      </c>
      <c r="F39" s="15" t="n">
        <f aca="false">ROUND((IF(K39="",DATE(2026,9,30),K39)-E39)/365.25,1)</f>
        <v>7.6</v>
      </c>
      <c r="G39" s="12"/>
      <c r="H39" s="16" t="n">
        <v>45658</v>
      </c>
      <c r="I39" s="12" t="s">
        <v>41</v>
      </c>
      <c r="J39" s="12" t="s">
        <v>55</v>
      </c>
      <c r="K39" s="17" t="n">
        <v>45838</v>
      </c>
      <c r="L39" s="12"/>
      <c r="M39" s="12" t="s">
        <v>70</v>
      </c>
      <c r="N39" s="12"/>
    </row>
    <row r="40" customFormat="false" ht="15" hidden="false" customHeight="false" outlineLevel="0" collapsed="false">
      <c r="A40" s="13" t="s">
        <v>93</v>
      </c>
      <c r="B40" s="12" t="s">
        <v>22</v>
      </c>
      <c r="C40" s="12" t="s">
        <v>19</v>
      </c>
      <c r="D40" s="13" t="s">
        <v>53</v>
      </c>
      <c r="E40" s="14" t="n">
        <v>43871</v>
      </c>
      <c r="F40" s="15" t="n">
        <f aca="false">ROUND((IF(K40="",DATE(2026,9,30),K40)-E40)/365.25,1)</f>
        <v>5.7</v>
      </c>
      <c r="G40" s="12"/>
      <c r="H40" s="16" t="n">
        <v>45658</v>
      </c>
      <c r="I40" s="12" t="s">
        <v>41</v>
      </c>
      <c r="J40" s="12" t="s">
        <v>55</v>
      </c>
      <c r="K40" s="17" t="n">
        <v>45955</v>
      </c>
      <c r="L40" s="12"/>
      <c r="M40" s="12" t="s">
        <v>70</v>
      </c>
      <c r="N40" s="12"/>
    </row>
    <row r="41" customFormat="false" ht="15" hidden="false" customHeight="false" outlineLevel="0" collapsed="false">
      <c r="A41" s="13" t="s">
        <v>94</v>
      </c>
      <c r="B41" s="12" t="s">
        <v>22</v>
      </c>
      <c r="C41" s="12" t="s">
        <v>19</v>
      </c>
      <c r="D41" s="13" t="s">
        <v>53</v>
      </c>
      <c r="E41" s="14" t="n">
        <v>43744</v>
      </c>
      <c r="F41" s="15" t="n">
        <f aca="false">ROUND((IF(K41="",DATE(2026,9,30),K41)-E41)/365.25,1)</f>
        <v>6</v>
      </c>
      <c r="G41" s="12"/>
      <c r="H41" s="16" t="n">
        <v>45658</v>
      </c>
      <c r="I41" s="12" t="s">
        <v>41</v>
      </c>
      <c r="J41" s="12" t="s">
        <v>55</v>
      </c>
      <c r="K41" s="17" t="n">
        <v>45947</v>
      </c>
      <c r="L41" s="12"/>
      <c r="M41" s="12" t="s">
        <v>70</v>
      </c>
      <c r="N41" s="12"/>
    </row>
    <row r="42" customFormat="false" ht="15" hidden="false" customHeight="false" outlineLevel="0" collapsed="false">
      <c r="A42" s="13" t="s">
        <v>95</v>
      </c>
      <c r="B42" s="12" t="s">
        <v>22</v>
      </c>
      <c r="C42" s="12" t="s">
        <v>19</v>
      </c>
      <c r="D42" s="13" t="s">
        <v>45</v>
      </c>
      <c r="E42" s="14" t="n">
        <v>42632</v>
      </c>
      <c r="F42" s="15" t="n">
        <f aca="false">ROUND((IF(K42="",DATE(2026,9,30),K42)-E42)/365.25,1)</f>
        <v>9.1</v>
      </c>
      <c r="G42" s="12"/>
      <c r="H42" s="16" t="n">
        <v>45658</v>
      </c>
      <c r="I42" s="12" t="s">
        <v>41</v>
      </c>
      <c r="J42" s="12" t="s">
        <v>55</v>
      </c>
      <c r="K42" s="17" t="n">
        <v>45947</v>
      </c>
      <c r="L42" s="12"/>
      <c r="M42" s="12" t="s">
        <v>70</v>
      </c>
      <c r="N42" s="12"/>
    </row>
    <row r="43" customFormat="false" ht="15" hidden="false" customHeight="false" outlineLevel="0" collapsed="false">
      <c r="A43" s="13" t="s">
        <v>96</v>
      </c>
      <c r="B43" s="12" t="s">
        <v>22</v>
      </c>
      <c r="C43" s="12" t="s">
        <v>19</v>
      </c>
      <c r="D43" s="13" t="s">
        <v>40</v>
      </c>
      <c r="E43" s="14" t="n">
        <v>43563</v>
      </c>
      <c r="F43" s="15" t="n">
        <f aca="false">ROUND((IF(K43="",DATE(2026,9,30),K43)-E43)/365.25,1)</f>
        <v>6.1</v>
      </c>
      <c r="G43" s="12"/>
      <c r="H43" s="16" t="n">
        <v>45658</v>
      </c>
      <c r="I43" s="12" t="s">
        <v>41</v>
      </c>
      <c r="J43" s="12" t="s">
        <v>42</v>
      </c>
      <c r="K43" s="17" t="n">
        <v>45796</v>
      </c>
      <c r="L43" s="12"/>
      <c r="M43" s="12" t="s">
        <v>70</v>
      </c>
      <c r="N43" s="12"/>
    </row>
    <row r="44" customFormat="false" ht="15" hidden="false" customHeight="false" outlineLevel="0" collapsed="false">
      <c r="A44" s="13" t="s">
        <v>97</v>
      </c>
      <c r="B44" s="12" t="s">
        <v>22</v>
      </c>
      <c r="C44" s="12" t="s">
        <v>19</v>
      </c>
      <c r="D44" s="13" t="s">
        <v>45</v>
      </c>
      <c r="E44" s="14" t="n">
        <v>43737</v>
      </c>
      <c r="F44" s="15" t="n">
        <f aca="false">ROUND((IF(K44="",DATE(2026,9,30),K44)-E44)/365.25,1)</f>
        <v>6.5</v>
      </c>
      <c r="G44" s="12"/>
      <c r="H44" s="16" t="n">
        <v>45658</v>
      </c>
      <c r="I44" s="12" t="s">
        <v>41</v>
      </c>
      <c r="J44" s="12" t="s">
        <v>55</v>
      </c>
      <c r="K44" s="17" t="n">
        <v>46112</v>
      </c>
      <c r="L44" s="12"/>
      <c r="M44" s="12" t="s">
        <v>70</v>
      </c>
      <c r="N44" s="12"/>
    </row>
    <row r="45" customFormat="false" ht="15" hidden="false" customHeight="false" outlineLevel="0" collapsed="false">
      <c r="A45" s="13" t="s">
        <v>98</v>
      </c>
      <c r="B45" s="12" t="s">
        <v>22</v>
      </c>
      <c r="C45" s="12" t="s">
        <v>19</v>
      </c>
      <c r="D45" s="13" t="s">
        <v>53</v>
      </c>
      <c r="E45" s="14" t="n">
        <v>42669</v>
      </c>
      <c r="F45" s="15" t="n">
        <f aca="false">ROUND((IF(K45="",DATE(2026,9,30),K45)-E45)/365.25,1)</f>
        <v>9</v>
      </c>
      <c r="G45" s="12"/>
      <c r="H45" s="16" t="n">
        <v>45658</v>
      </c>
      <c r="I45" s="12" t="s">
        <v>41</v>
      </c>
      <c r="J45" s="12" t="s">
        <v>55</v>
      </c>
      <c r="K45" s="17" t="n">
        <v>45946</v>
      </c>
      <c r="L45" s="12"/>
      <c r="M45" s="12" t="s">
        <v>70</v>
      </c>
      <c r="N45" s="12"/>
    </row>
    <row r="46" customFormat="false" ht="15" hidden="false" customHeight="false" outlineLevel="0" collapsed="false">
      <c r="A46" s="13" t="s">
        <v>99</v>
      </c>
      <c r="B46" s="12" t="s">
        <v>22</v>
      </c>
      <c r="C46" s="12" t="s">
        <v>19</v>
      </c>
      <c r="D46" s="13" t="s">
        <v>53</v>
      </c>
      <c r="E46" s="14" t="n">
        <v>42571</v>
      </c>
      <c r="F46" s="15" t="n">
        <f aca="false">ROUND((IF(K46="",DATE(2026,9,30),K46)-E46)/365.25,1)</f>
        <v>9.1</v>
      </c>
      <c r="G46" s="12"/>
      <c r="H46" s="16" t="n">
        <v>45658</v>
      </c>
      <c r="I46" s="12" t="s">
        <v>41</v>
      </c>
      <c r="J46" s="12" t="s">
        <v>55</v>
      </c>
      <c r="K46" s="17" t="n">
        <v>45881</v>
      </c>
      <c r="L46" s="12"/>
      <c r="M46" s="12" t="s">
        <v>70</v>
      </c>
      <c r="N46" s="12"/>
    </row>
    <row r="47" customFormat="false" ht="15" hidden="false" customHeight="false" outlineLevel="0" collapsed="false">
      <c r="A47" s="13" t="s">
        <v>100</v>
      </c>
      <c r="B47" s="12" t="s">
        <v>22</v>
      </c>
      <c r="C47" s="12" t="s">
        <v>19</v>
      </c>
      <c r="D47" s="13" t="s">
        <v>45</v>
      </c>
      <c r="E47" s="14" t="n">
        <v>42742</v>
      </c>
      <c r="F47" s="15" t="n">
        <f aca="false">ROUND((IF(K47="",DATE(2026,9,30),K47)-E47)/365.25,1)</f>
        <v>8.6</v>
      </c>
      <c r="G47" s="12"/>
      <c r="H47" s="16" t="n">
        <v>45658</v>
      </c>
      <c r="I47" s="12" t="s">
        <v>41</v>
      </c>
      <c r="J47" s="12" t="s">
        <v>55</v>
      </c>
      <c r="K47" s="17" t="n">
        <v>45881</v>
      </c>
      <c r="L47" s="12"/>
      <c r="M47" s="12" t="s">
        <v>70</v>
      </c>
      <c r="N47" s="12"/>
    </row>
    <row r="48" customFormat="false" ht="15" hidden="false" customHeight="false" outlineLevel="0" collapsed="false">
      <c r="A48" s="13" t="s">
        <v>101</v>
      </c>
      <c r="B48" s="12" t="s">
        <v>22</v>
      </c>
      <c r="C48" s="12" t="s">
        <v>19</v>
      </c>
      <c r="D48" s="13" t="s">
        <v>53</v>
      </c>
      <c r="E48" s="14" t="n">
        <v>42549</v>
      </c>
      <c r="F48" s="15" t="n">
        <f aca="false">ROUND((IF(K48="",DATE(2026,9,30),K48)-E48)/365.25,1)</f>
        <v>9.3</v>
      </c>
      <c r="G48" s="12"/>
      <c r="H48" s="16" t="n">
        <v>45658</v>
      </c>
      <c r="I48" s="12" t="s">
        <v>41</v>
      </c>
      <c r="J48" s="12" t="s">
        <v>55</v>
      </c>
      <c r="K48" s="17" t="n">
        <v>45941</v>
      </c>
      <c r="L48" s="12"/>
      <c r="M48" s="12" t="s">
        <v>70</v>
      </c>
      <c r="N48" s="12"/>
    </row>
    <row r="49" customFormat="false" ht="15" hidden="false" customHeight="false" outlineLevel="0" collapsed="false">
      <c r="A49" s="13" t="s">
        <v>102</v>
      </c>
      <c r="B49" s="12" t="s">
        <v>22</v>
      </c>
      <c r="C49" s="12" t="s">
        <v>19</v>
      </c>
      <c r="D49" s="13" t="s">
        <v>40</v>
      </c>
      <c r="E49" s="14" t="n">
        <v>43529</v>
      </c>
      <c r="F49" s="15" t="n">
        <f aca="false">ROUND((IF(K49="",DATE(2026,9,30),K49)-E49)/365.25,1)</f>
        <v>6.2</v>
      </c>
      <c r="G49" s="12"/>
      <c r="H49" s="16" t="n">
        <v>45658</v>
      </c>
      <c r="I49" s="12" t="s">
        <v>41</v>
      </c>
      <c r="J49" s="12" t="s">
        <v>42</v>
      </c>
      <c r="K49" s="17" t="n">
        <v>45794</v>
      </c>
      <c r="L49" s="12"/>
      <c r="M49" s="12" t="s">
        <v>70</v>
      </c>
      <c r="N49" s="12"/>
    </row>
    <row r="50" customFormat="false" ht="15" hidden="false" customHeight="false" outlineLevel="0" collapsed="false">
      <c r="A50" s="13" t="s">
        <v>103</v>
      </c>
      <c r="B50" s="12" t="s">
        <v>22</v>
      </c>
      <c r="C50" s="12" t="s">
        <v>19</v>
      </c>
      <c r="D50" s="13" t="s">
        <v>40</v>
      </c>
      <c r="E50" s="14" t="n">
        <v>43381</v>
      </c>
      <c r="F50" s="15" t="n">
        <f aca="false">ROUND((IF(K50="",DATE(2026,9,30),K50)-E50)/365.25,1)</f>
        <v>6.7</v>
      </c>
      <c r="G50" s="12"/>
      <c r="H50" s="16" t="n">
        <v>45658</v>
      </c>
      <c r="I50" s="12" t="s">
        <v>41</v>
      </c>
      <c r="J50" s="12" t="s">
        <v>55</v>
      </c>
      <c r="K50" s="17" t="n">
        <v>45838</v>
      </c>
      <c r="L50" s="12"/>
      <c r="M50" s="12" t="s">
        <v>70</v>
      </c>
      <c r="N50" s="12"/>
    </row>
    <row r="51" customFormat="false" ht="15" hidden="false" customHeight="false" outlineLevel="0" collapsed="false">
      <c r="A51" s="13" t="s">
        <v>104</v>
      </c>
      <c r="B51" s="12" t="s">
        <v>22</v>
      </c>
      <c r="C51" s="12" t="s">
        <v>20</v>
      </c>
      <c r="D51" s="13" t="s">
        <v>45</v>
      </c>
      <c r="E51" s="14" t="n">
        <v>42805</v>
      </c>
      <c r="F51" s="15" t="n">
        <f aca="false">ROUND((IF(K51="",DATE(2026,9,30),K51)-E51)/365.25,1)</f>
        <v>9.3</v>
      </c>
      <c r="G51" s="12"/>
      <c r="H51" s="16" t="n">
        <v>45658</v>
      </c>
      <c r="I51" s="12" t="s">
        <v>41</v>
      </c>
      <c r="J51" s="12" t="s">
        <v>55</v>
      </c>
      <c r="K51" s="17" t="n">
        <v>46185</v>
      </c>
      <c r="L51" s="12"/>
      <c r="M51" s="12" t="s">
        <v>70</v>
      </c>
      <c r="N51" s="12"/>
    </row>
    <row r="52" customFormat="false" ht="15" hidden="false" customHeight="false" outlineLevel="0" collapsed="false">
      <c r="A52" s="13" t="s">
        <v>105</v>
      </c>
      <c r="B52" s="12" t="s">
        <v>22</v>
      </c>
      <c r="C52" s="12" t="s">
        <v>20</v>
      </c>
      <c r="D52" s="13" t="s">
        <v>45</v>
      </c>
      <c r="E52" s="14" t="n">
        <v>43505</v>
      </c>
      <c r="F52" s="15" t="n">
        <f aca="false">ROUND((IF(K52="",DATE(2026,9,30),K52)-E52)/365.25,1)</f>
        <v>7</v>
      </c>
      <c r="G52" s="12"/>
      <c r="H52" s="16" t="n">
        <v>45658</v>
      </c>
      <c r="I52" s="12" t="s">
        <v>41</v>
      </c>
      <c r="J52" s="12" t="s">
        <v>55</v>
      </c>
      <c r="K52" s="17" t="n">
        <v>46051</v>
      </c>
      <c r="L52" s="12"/>
      <c r="M52" s="12" t="s">
        <v>70</v>
      </c>
      <c r="N52" s="12"/>
    </row>
    <row r="53" customFormat="false" ht="15" hidden="false" customHeight="false" outlineLevel="0" collapsed="false">
      <c r="A53" s="13" t="s">
        <v>106</v>
      </c>
      <c r="B53" s="12" t="s">
        <v>22</v>
      </c>
      <c r="C53" s="12" t="s">
        <v>20</v>
      </c>
      <c r="D53" s="13" t="s">
        <v>45</v>
      </c>
      <c r="E53" s="14" t="n">
        <v>44503</v>
      </c>
      <c r="F53" s="15" t="n">
        <f aca="false">ROUND((IF(K53="",DATE(2026,9,30),K53)-E53)/365.25,1)</f>
        <v>3.7</v>
      </c>
      <c r="G53" s="12"/>
      <c r="H53" s="16" t="n">
        <v>45658</v>
      </c>
      <c r="I53" s="12" t="s">
        <v>41</v>
      </c>
      <c r="J53" s="12" t="s">
        <v>42</v>
      </c>
      <c r="K53" s="17" t="n">
        <v>45850</v>
      </c>
      <c r="L53" s="12"/>
      <c r="M53" s="12" t="s">
        <v>70</v>
      </c>
      <c r="N53" s="12"/>
    </row>
    <row r="54" customFormat="false" ht="15" hidden="false" customHeight="false" outlineLevel="0" collapsed="false">
      <c r="A54" s="13" t="s">
        <v>107</v>
      </c>
      <c r="B54" s="12" t="s">
        <v>22</v>
      </c>
      <c r="C54" s="12" t="s">
        <v>20</v>
      </c>
      <c r="D54" s="13" t="s">
        <v>40</v>
      </c>
      <c r="E54" s="14" t="n">
        <v>43727</v>
      </c>
      <c r="F54" s="15" t="n">
        <f aca="false">ROUND((IF(K54="",DATE(2026,9,30),K54)-E54)/365.25,1)</f>
        <v>7</v>
      </c>
      <c r="G54" s="12"/>
      <c r="H54" s="16" t="n">
        <v>45658</v>
      </c>
      <c r="I54" s="12" t="s">
        <v>41</v>
      </c>
      <c r="J54" s="12" t="s">
        <v>47</v>
      </c>
      <c r="K54" s="12"/>
      <c r="L54" s="12"/>
      <c r="M54" s="12" t="s">
        <v>70</v>
      </c>
      <c r="N54" s="12"/>
    </row>
    <row r="55" customFormat="false" ht="15" hidden="false" customHeight="false" outlineLevel="0" collapsed="false">
      <c r="A55" s="13" t="s">
        <v>108</v>
      </c>
      <c r="B55" s="12" t="s">
        <v>22</v>
      </c>
      <c r="C55" s="12" t="s">
        <v>20</v>
      </c>
      <c r="D55" s="13" t="s">
        <v>40</v>
      </c>
      <c r="E55" s="14" t="n">
        <v>43602</v>
      </c>
      <c r="F55" s="15" t="n">
        <f aca="false">ROUND((IF(K55="",DATE(2026,9,30),K55)-E55)/365.25,1)</f>
        <v>6.5</v>
      </c>
      <c r="G55" s="12"/>
      <c r="H55" s="16" t="n">
        <v>45658</v>
      </c>
      <c r="I55" s="12" t="s">
        <v>41</v>
      </c>
      <c r="J55" s="12" t="s">
        <v>55</v>
      </c>
      <c r="K55" s="17" t="n">
        <v>45958</v>
      </c>
      <c r="L55" s="12"/>
      <c r="M55" s="12" t="s">
        <v>70</v>
      </c>
      <c r="N55" s="12"/>
    </row>
    <row r="56" customFormat="false" ht="15" hidden="false" customHeight="false" outlineLevel="0" collapsed="false">
      <c r="A56" s="13" t="s">
        <v>109</v>
      </c>
      <c r="B56" s="12" t="s">
        <v>22</v>
      </c>
      <c r="C56" s="12" t="s">
        <v>20</v>
      </c>
      <c r="D56" s="13" t="s">
        <v>40</v>
      </c>
      <c r="E56" s="14" t="n">
        <v>42730</v>
      </c>
      <c r="F56" s="15" t="n">
        <f aca="false">ROUND((IF(K56="",DATE(2026,9,30),K56)-E56)/365.25,1)</f>
        <v>8.8</v>
      </c>
      <c r="G56" s="12"/>
      <c r="H56" s="16" t="n">
        <v>45658</v>
      </c>
      <c r="I56" s="12" t="s">
        <v>41</v>
      </c>
      <c r="J56" s="12" t="s">
        <v>55</v>
      </c>
      <c r="K56" s="17" t="n">
        <v>45934</v>
      </c>
      <c r="L56" s="12"/>
      <c r="M56" s="12" t="s">
        <v>70</v>
      </c>
      <c r="N56" s="12"/>
    </row>
    <row r="57" customFormat="false" ht="15" hidden="false" customHeight="false" outlineLevel="0" collapsed="false">
      <c r="A57" s="13" t="s">
        <v>110</v>
      </c>
      <c r="B57" s="12" t="s">
        <v>22</v>
      </c>
      <c r="C57" s="12" t="s">
        <v>20</v>
      </c>
      <c r="D57" s="13" t="s">
        <v>53</v>
      </c>
      <c r="E57" s="14" t="n">
        <v>43259</v>
      </c>
      <c r="F57" s="15" t="n">
        <f aca="false">ROUND((IF(K57="",DATE(2026,9,30),K57)-E57)/365.25,1)</f>
        <v>7.4</v>
      </c>
      <c r="G57" s="12"/>
      <c r="H57" s="16" t="n">
        <v>45658</v>
      </c>
      <c r="I57" s="12" t="s">
        <v>41</v>
      </c>
      <c r="J57" s="12" t="s">
        <v>55</v>
      </c>
      <c r="K57" s="17" t="n">
        <v>45960</v>
      </c>
      <c r="L57" s="12"/>
      <c r="M57" s="12" t="s">
        <v>70</v>
      </c>
      <c r="N57" s="12"/>
    </row>
    <row r="58" customFormat="false" ht="15" hidden="false" customHeight="false" outlineLevel="0" collapsed="false">
      <c r="A58" s="13" t="s">
        <v>111</v>
      </c>
      <c r="B58" s="12" t="s">
        <v>22</v>
      </c>
      <c r="C58" s="12" t="s">
        <v>20</v>
      </c>
      <c r="D58" s="13" t="s">
        <v>45</v>
      </c>
      <c r="E58" s="14" t="n">
        <v>43146</v>
      </c>
      <c r="F58" s="15" t="n">
        <f aca="false">ROUND((IF(K58="",DATE(2026,9,30),K58)-E58)/365.25,1)</f>
        <v>8.6</v>
      </c>
      <c r="G58" s="12"/>
      <c r="H58" s="16" t="n">
        <v>45658</v>
      </c>
      <c r="I58" s="12" t="s">
        <v>41</v>
      </c>
      <c r="J58" s="12" t="s">
        <v>47</v>
      </c>
      <c r="K58" s="12"/>
      <c r="L58" s="12"/>
      <c r="M58" s="12" t="s">
        <v>70</v>
      </c>
      <c r="N58" s="12"/>
    </row>
    <row r="59" customFormat="false" ht="15" hidden="false" customHeight="false" outlineLevel="0" collapsed="false">
      <c r="A59" s="13" t="s">
        <v>112</v>
      </c>
      <c r="B59" s="12" t="s">
        <v>22</v>
      </c>
      <c r="C59" s="12" t="s">
        <v>20</v>
      </c>
      <c r="D59" s="13" t="s">
        <v>45</v>
      </c>
      <c r="E59" s="14" t="n">
        <v>42541</v>
      </c>
      <c r="F59" s="15" t="n">
        <f aca="false">ROUND((IF(K59="",DATE(2026,9,30),K59)-E59)/365.25,1)</f>
        <v>10.3</v>
      </c>
      <c r="G59" s="12"/>
      <c r="H59" s="16" t="n">
        <v>45658</v>
      </c>
      <c r="I59" s="12" t="s">
        <v>41</v>
      </c>
      <c r="J59" s="12" t="s">
        <v>47</v>
      </c>
      <c r="K59" s="12"/>
      <c r="L59" s="12"/>
      <c r="M59" s="12" t="s">
        <v>70</v>
      </c>
      <c r="N59" s="12"/>
    </row>
    <row r="60" customFormat="false" ht="15" hidden="false" customHeight="false" outlineLevel="0" collapsed="false">
      <c r="A60" s="13" t="s">
        <v>113</v>
      </c>
      <c r="B60" s="12" t="s">
        <v>22</v>
      </c>
      <c r="C60" s="12" t="s">
        <v>20</v>
      </c>
      <c r="D60" s="13" t="s">
        <v>53</v>
      </c>
      <c r="E60" s="14" t="n">
        <v>44150</v>
      </c>
      <c r="F60" s="15" t="n">
        <f aca="false">ROUND((IF(K60="",DATE(2026,9,30),K60)-E60)/365.25,1)</f>
        <v>5.9</v>
      </c>
      <c r="G60" s="12"/>
      <c r="H60" s="16" t="n">
        <v>45658</v>
      </c>
      <c r="I60" s="12" t="s">
        <v>41</v>
      </c>
      <c r="J60" s="12" t="s">
        <v>47</v>
      </c>
      <c r="K60" s="12"/>
      <c r="L60" s="12"/>
      <c r="M60" s="12" t="s">
        <v>70</v>
      </c>
      <c r="N60" s="12"/>
    </row>
    <row r="61" customFormat="false" ht="15" hidden="false" customHeight="false" outlineLevel="0" collapsed="false">
      <c r="A61" s="13" t="s">
        <v>114</v>
      </c>
      <c r="B61" s="12" t="s">
        <v>22</v>
      </c>
      <c r="C61" s="12" t="s">
        <v>20</v>
      </c>
      <c r="D61" s="13" t="s">
        <v>53</v>
      </c>
      <c r="E61" s="14" t="n">
        <v>43157</v>
      </c>
      <c r="F61" s="15" t="n">
        <f aca="false">ROUND((IF(K61="",DATE(2026,9,30),K61)-E61)/365.25,1)</f>
        <v>8.6</v>
      </c>
      <c r="G61" s="12"/>
      <c r="H61" s="16" t="n">
        <v>45658</v>
      </c>
      <c r="I61" s="12" t="s">
        <v>41</v>
      </c>
      <c r="J61" s="12" t="s">
        <v>47</v>
      </c>
      <c r="K61" s="12"/>
      <c r="L61" s="12"/>
      <c r="M61" s="12" t="s">
        <v>70</v>
      </c>
      <c r="N61" s="12"/>
    </row>
    <row r="62" customFormat="false" ht="15" hidden="false" customHeight="false" outlineLevel="0" collapsed="false">
      <c r="A62" s="13" t="s">
        <v>115</v>
      </c>
      <c r="B62" s="12" t="s">
        <v>22</v>
      </c>
      <c r="C62" s="12" t="s">
        <v>20</v>
      </c>
      <c r="D62" s="13" t="s">
        <v>53</v>
      </c>
      <c r="E62" s="14" t="n">
        <v>43555</v>
      </c>
      <c r="F62" s="15" t="n">
        <f aca="false">ROUND((IF(K62="",DATE(2026,9,30),K62)-E62)/365.25,1)</f>
        <v>7.5</v>
      </c>
      <c r="G62" s="12"/>
      <c r="H62" s="16" t="n">
        <v>45658</v>
      </c>
      <c r="I62" s="12" t="s">
        <v>41</v>
      </c>
      <c r="J62" s="12" t="s">
        <v>47</v>
      </c>
      <c r="K62" s="12"/>
      <c r="L62" s="12"/>
      <c r="M62" s="12" t="s">
        <v>70</v>
      </c>
      <c r="N62" s="12"/>
    </row>
    <row r="63" customFormat="false" ht="15" hidden="false" customHeight="false" outlineLevel="0" collapsed="false">
      <c r="A63" s="13" t="s">
        <v>116</v>
      </c>
      <c r="B63" s="12" t="s">
        <v>22</v>
      </c>
      <c r="C63" s="12" t="s">
        <v>20</v>
      </c>
      <c r="D63" s="13" t="s">
        <v>53</v>
      </c>
      <c r="E63" s="14" t="n">
        <v>42836</v>
      </c>
      <c r="F63" s="15" t="n">
        <f aca="false">ROUND((IF(K63="",DATE(2026,9,30),K63)-E63)/365.25,1)</f>
        <v>8.6</v>
      </c>
      <c r="G63" s="12"/>
      <c r="H63" s="16" t="n">
        <v>45658</v>
      </c>
      <c r="I63" s="12" t="s">
        <v>41</v>
      </c>
      <c r="J63" s="12" t="s">
        <v>55</v>
      </c>
      <c r="K63" s="17" t="n">
        <v>45961</v>
      </c>
      <c r="L63" s="12"/>
      <c r="M63" s="12" t="s">
        <v>70</v>
      </c>
      <c r="N63" s="12"/>
    </row>
    <row r="64" customFormat="false" ht="15" hidden="false" customHeight="false" outlineLevel="0" collapsed="false">
      <c r="A64" s="13" t="s">
        <v>117</v>
      </c>
      <c r="B64" s="12" t="s">
        <v>22</v>
      </c>
      <c r="C64" s="12" t="s">
        <v>20</v>
      </c>
      <c r="D64" s="13" t="s">
        <v>53</v>
      </c>
      <c r="E64" s="14" t="n">
        <v>43719</v>
      </c>
      <c r="F64" s="15" t="n">
        <f aca="false">ROUND((IF(K64="",DATE(2026,9,30),K64)-E64)/365.25,1)</f>
        <v>5.5</v>
      </c>
      <c r="G64" s="12"/>
      <c r="H64" s="16" t="n">
        <v>45658</v>
      </c>
      <c r="I64" s="12" t="s">
        <v>41</v>
      </c>
      <c r="J64" s="12" t="s">
        <v>42</v>
      </c>
      <c r="K64" s="17" t="n">
        <v>45710</v>
      </c>
      <c r="L64" s="12"/>
      <c r="M64" s="12" t="s">
        <v>70</v>
      </c>
      <c r="N64" s="12"/>
    </row>
    <row r="65" customFormat="false" ht="15" hidden="false" customHeight="false" outlineLevel="0" collapsed="false">
      <c r="A65" s="13" t="s">
        <v>118</v>
      </c>
      <c r="B65" s="12" t="s">
        <v>22</v>
      </c>
      <c r="C65" s="12" t="s">
        <v>20</v>
      </c>
      <c r="D65" s="13" t="s">
        <v>40</v>
      </c>
      <c r="E65" s="14" t="n">
        <v>42772</v>
      </c>
      <c r="F65" s="15" t="n">
        <f aca="false">ROUND((IF(K65="",DATE(2026,9,30),K65)-E65)/365.25,1)</f>
        <v>8.7</v>
      </c>
      <c r="G65" s="12"/>
      <c r="H65" s="16" t="n">
        <v>45658</v>
      </c>
      <c r="I65" s="12" t="s">
        <v>41</v>
      </c>
      <c r="J65" s="12" t="s">
        <v>55</v>
      </c>
      <c r="K65" s="17" t="n">
        <v>45961</v>
      </c>
      <c r="L65" s="12"/>
      <c r="M65" s="12" t="s">
        <v>70</v>
      </c>
      <c r="N65" s="12"/>
    </row>
    <row r="66" customFormat="false" ht="15" hidden="false" customHeight="false" outlineLevel="0" collapsed="false">
      <c r="A66" s="13" t="s">
        <v>119</v>
      </c>
      <c r="B66" s="12" t="s">
        <v>22</v>
      </c>
      <c r="C66" s="12" t="s">
        <v>20</v>
      </c>
      <c r="D66" s="13" t="s">
        <v>45</v>
      </c>
      <c r="E66" s="14" t="n">
        <v>44667</v>
      </c>
      <c r="F66" s="15" t="n">
        <f aca="false">ROUND((IF(K66="",DATE(2026,9,30),K66)-E66)/365.25,1)</f>
        <v>4.5</v>
      </c>
      <c r="G66" s="12"/>
      <c r="H66" s="16" t="n">
        <v>45658</v>
      </c>
      <c r="I66" s="12" t="s">
        <v>41</v>
      </c>
      <c r="J66" s="12" t="s">
        <v>47</v>
      </c>
      <c r="K66" s="12"/>
      <c r="L66" s="12"/>
      <c r="M66" s="12" t="s">
        <v>70</v>
      </c>
      <c r="N66" s="12"/>
    </row>
    <row r="67" customFormat="false" ht="15" hidden="false" customHeight="false" outlineLevel="0" collapsed="false">
      <c r="A67" s="13" t="s">
        <v>120</v>
      </c>
      <c r="B67" s="12" t="s">
        <v>22</v>
      </c>
      <c r="C67" s="12" t="s">
        <v>20</v>
      </c>
      <c r="D67" s="13" t="s">
        <v>53</v>
      </c>
      <c r="E67" s="14" t="n">
        <v>42653</v>
      </c>
      <c r="F67" s="15" t="n">
        <f aca="false">ROUND((IF(K67="",DATE(2026,9,30),K67)-E67)/365.25,1)</f>
        <v>8.9</v>
      </c>
      <c r="G67" s="12"/>
      <c r="H67" s="16" t="n">
        <v>45658</v>
      </c>
      <c r="I67" s="12" t="s">
        <v>41</v>
      </c>
      <c r="J67" s="12" t="s">
        <v>42</v>
      </c>
      <c r="K67" s="17" t="n">
        <v>45889</v>
      </c>
      <c r="L67" s="12"/>
      <c r="M67" s="12" t="s">
        <v>70</v>
      </c>
      <c r="N67" s="12"/>
    </row>
    <row r="68" customFormat="false" ht="15" hidden="false" customHeight="false" outlineLevel="0" collapsed="false">
      <c r="A68" s="13" t="s">
        <v>121</v>
      </c>
      <c r="B68" s="12" t="s">
        <v>22</v>
      </c>
      <c r="C68" s="12" t="s">
        <v>20</v>
      </c>
      <c r="D68" s="13" t="s">
        <v>53</v>
      </c>
      <c r="E68" s="14" t="n">
        <v>42840</v>
      </c>
      <c r="F68" s="15" t="n">
        <f aca="false">ROUND((IF(K68="",DATE(2026,9,30),K68)-E68)/365.25,1)</f>
        <v>9.5</v>
      </c>
      <c r="G68" s="12"/>
      <c r="H68" s="16" t="n">
        <v>45658</v>
      </c>
      <c r="I68" s="12" t="s">
        <v>41</v>
      </c>
      <c r="J68" s="12" t="s">
        <v>47</v>
      </c>
      <c r="K68" s="12"/>
      <c r="L68" s="12"/>
      <c r="M68" s="12" t="s">
        <v>70</v>
      </c>
      <c r="N68" s="12"/>
    </row>
    <row r="69" customFormat="false" ht="15" hidden="false" customHeight="false" outlineLevel="0" collapsed="false">
      <c r="A69" s="13" t="s">
        <v>122</v>
      </c>
      <c r="B69" s="12" t="s">
        <v>22</v>
      </c>
      <c r="C69" s="12" t="s">
        <v>20</v>
      </c>
      <c r="D69" s="13" t="s">
        <v>40</v>
      </c>
      <c r="E69" s="14" t="n">
        <v>43892</v>
      </c>
      <c r="F69" s="15" t="n">
        <f aca="false">ROUND((IF(K69="",DATE(2026,9,30),K69)-E69)/365.25,1)</f>
        <v>6.6</v>
      </c>
      <c r="G69" s="12"/>
      <c r="H69" s="16" t="n">
        <v>45658</v>
      </c>
      <c r="I69" s="12" t="s">
        <v>41</v>
      </c>
      <c r="J69" s="12" t="s">
        <v>47</v>
      </c>
      <c r="K69" s="12"/>
      <c r="L69" s="12"/>
      <c r="M69" s="12" t="s">
        <v>70</v>
      </c>
      <c r="N69" s="12"/>
    </row>
    <row r="70" customFormat="false" ht="15" hidden="false" customHeight="false" outlineLevel="0" collapsed="false">
      <c r="A70" s="13" t="s">
        <v>123</v>
      </c>
      <c r="B70" s="12" t="s">
        <v>22</v>
      </c>
      <c r="C70" s="12" t="s">
        <v>20</v>
      </c>
      <c r="D70" s="13" t="s">
        <v>53</v>
      </c>
      <c r="E70" s="14" t="n">
        <v>44129</v>
      </c>
      <c r="F70" s="15" t="n">
        <f aca="false">ROUND((IF(K70="",DATE(2026,9,30),K70)-E70)/365.25,1)</f>
        <v>5.9</v>
      </c>
      <c r="G70" s="12"/>
      <c r="H70" s="16" t="n">
        <v>45658</v>
      </c>
      <c r="I70" s="12" t="s">
        <v>41</v>
      </c>
      <c r="J70" s="12" t="s">
        <v>47</v>
      </c>
      <c r="K70" s="12"/>
      <c r="L70" s="12"/>
      <c r="M70" s="12" t="s">
        <v>70</v>
      </c>
      <c r="N70" s="12"/>
    </row>
    <row r="71" customFormat="false" ht="15" hidden="false" customHeight="false" outlineLevel="0" collapsed="false">
      <c r="A71" s="13" t="s">
        <v>124</v>
      </c>
      <c r="B71" s="12" t="s">
        <v>22</v>
      </c>
      <c r="C71" s="12" t="s">
        <v>20</v>
      </c>
      <c r="D71" s="13" t="s">
        <v>53</v>
      </c>
      <c r="E71" s="14" t="n">
        <v>43639</v>
      </c>
      <c r="F71" s="15" t="n">
        <f aca="false">ROUND((IF(K71="",DATE(2026,9,30),K71)-E71)/365.25,1)</f>
        <v>7.3</v>
      </c>
      <c r="G71" s="12"/>
      <c r="H71" s="16" t="n">
        <v>45658</v>
      </c>
      <c r="I71" s="12" t="s">
        <v>41</v>
      </c>
      <c r="J71" s="12" t="s">
        <v>47</v>
      </c>
      <c r="K71" s="12"/>
      <c r="L71" s="12"/>
      <c r="M71" s="12" t="s">
        <v>70</v>
      </c>
      <c r="N71" s="12"/>
    </row>
    <row r="72" customFormat="false" ht="15" hidden="false" customHeight="false" outlineLevel="0" collapsed="false">
      <c r="A72" s="13" t="s">
        <v>125</v>
      </c>
      <c r="B72" s="12" t="s">
        <v>22</v>
      </c>
      <c r="C72" s="12" t="s">
        <v>20</v>
      </c>
      <c r="D72" s="13" t="s">
        <v>45</v>
      </c>
      <c r="E72" s="14" t="n">
        <v>42829</v>
      </c>
      <c r="F72" s="15" t="n">
        <f aca="false">ROUND((IF(K72="",DATE(2026,9,30),K72)-E72)/365.25,1)</f>
        <v>9.5</v>
      </c>
      <c r="G72" s="12"/>
      <c r="H72" s="16" t="n">
        <v>45658</v>
      </c>
      <c r="I72" s="12" t="s">
        <v>41</v>
      </c>
      <c r="J72" s="12" t="s">
        <v>47</v>
      </c>
      <c r="K72" s="12"/>
      <c r="L72" s="12"/>
      <c r="M72" s="12" t="s">
        <v>70</v>
      </c>
      <c r="N72" s="12"/>
    </row>
    <row r="73" customFormat="false" ht="15" hidden="false" customHeight="false" outlineLevel="0" collapsed="false">
      <c r="A73" s="13" t="s">
        <v>126</v>
      </c>
      <c r="B73" s="12" t="s">
        <v>22</v>
      </c>
      <c r="C73" s="12" t="s">
        <v>20</v>
      </c>
      <c r="D73" s="13" t="s">
        <v>40</v>
      </c>
      <c r="E73" s="14" t="n">
        <v>43171</v>
      </c>
      <c r="F73" s="15" t="n">
        <f aca="false">ROUND((IF(K73="",DATE(2026,9,30),K73)-E73)/365.25,1)</f>
        <v>8.6</v>
      </c>
      <c r="G73" s="12"/>
      <c r="H73" s="16" t="n">
        <v>45658</v>
      </c>
      <c r="I73" s="12" t="s">
        <v>41</v>
      </c>
      <c r="J73" s="12" t="s">
        <v>47</v>
      </c>
      <c r="K73" s="12"/>
      <c r="L73" s="12"/>
      <c r="M73" s="12" t="s">
        <v>70</v>
      </c>
      <c r="N73" s="12"/>
    </row>
    <row r="74" customFormat="false" ht="15" hidden="false" customHeight="false" outlineLevel="0" collapsed="false">
      <c r="A74" s="13" t="s">
        <v>127</v>
      </c>
      <c r="B74" s="12" t="s">
        <v>22</v>
      </c>
      <c r="C74" s="12" t="s">
        <v>20</v>
      </c>
      <c r="D74" s="13" t="s">
        <v>53</v>
      </c>
      <c r="E74" s="14" t="n">
        <v>42773</v>
      </c>
      <c r="F74" s="15" t="n">
        <f aca="false">ROUND((IF(K74="",DATE(2026,9,30),K74)-E74)/365.25,1)</f>
        <v>9.6</v>
      </c>
      <c r="G74" s="12"/>
      <c r="H74" s="16" t="n">
        <v>45658</v>
      </c>
      <c r="I74" s="12" t="s">
        <v>41</v>
      </c>
      <c r="J74" s="12" t="s">
        <v>47</v>
      </c>
      <c r="K74" s="12"/>
      <c r="L74" s="12"/>
      <c r="M74" s="12" t="s">
        <v>70</v>
      </c>
      <c r="N74" s="12"/>
    </row>
    <row r="75" customFormat="false" ht="15" hidden="false" customHeight="false" outlineLevel="0" collapsed="false">
      <c r="A75" s="13" t="s">
        <v>128</v>
      </c>
      <c r="B75" s="12" t="s">
        <v>22</v>
      </c>
      <c r="C75" s="12" t="s">
        <v>20</v>
      </c>
      <c r="D75" s="13" t="s">
        <v>40</v>
      </c>
      <c r="E75" s="14" t="n">
        <v>43660</v>
      </c>
      <c r="F75" s="15" t="n">
        <f aca="false">ROUND((IF(K75="",DATE(2026,9,30),K75)-E75)/365.25,1)</f>
        <v>7.2</v>
      </c>
      <c r="G75" s="12"/>
      <c r="H75" s="16" t="n">
        <v>45658</v>
      </c>
      <c r="I75" s="12" t="s">
        <v>41</v>
      </c>
      <c r="J75" s="12" t="s">
        <v>47</v>
      </c>
      <c r="K75" s="12"/>
      <c r="L75" s="12"/>
      <c r="M75" s="12" t="s">
        <v>70</v>
      </c>
      <c r="N75" s="12"/>
    </row>
    <row r="76" customFormat="false" ht="15" hidden="false" customHeight="false" outlineLevel="0" collapsed="false">
      <c r="A76" s="13" t="s">
        <v>129</v>
      </c>
      <c r="B76" s="12" t="s">
        <v>22</v>
      </c>
      <c r="C76" s="12" t="s">
        <v>20</v>
      </c>
      <c r="D76" s="13" t="s">
        <v>45</v>
      </c>
      <c r="E76" s="14" t="n">
        <v>43706</v>
      </c>
      <c r="F76" s="15" t="n">
        <f aca="false">ROUND((IF(K76="",DATE(2026,9,30),K76)-E76)/365.25,1)</f>
        <v>6.6</v>
      </c>
      <c r="G76" s="12"/>
      <c r="H76" s="16" t="n">
        <v>45658</v>
      </c>
      <c r="I76" s="12" t="s">
        <v>41</v>
      </c>
      <c r="J76" s="12" t="s">
        <v>55</v>
      </c>
      <c r="K76" s="17" t="n">
        <v>46099</v>
      </c>
      <c r="L76" s="12"/>
      <c r="M76" s="12" t="s">
        <v>70</v>
      </c>
      <c r="N76" s="12"/>
    </row>
    <row r="77" customFormat="false" ht="15" hidden="false" customHeight="false" outlineLevel="0" collapsed="false">
      <c r="A77" s="13" t="s">
        <v>130</v>
      </c>
      <c r="B77" s="12" t="s">
        <v>22</v>
      </c>
      <c r="C77" s="12" t="s">
        <v>20</v>
      </c>
      <c r="D77" s="13" t="s">
        <v>45</v>
      </c>
      <c r="E77" s="14" t="n">
        <v>42883</v>
      </c>
      <c r="F77" s="15" t="n">
        <f aca="false">ROUND((IF(K77="",DATE(2026,9,30),K77)-E77)/365.25,1)</f>
        <v>9.3</v>
      </c>
      <c r="G77" s="12"/>
      <c r="H77" s="16" t="n">
        <v>45658</v>
      </c>
      <c r="I77" s="12" t="s">
        <v>41</v>
      </c>
      <c r="J77" s="12" t="s">
        <v>47</v>
      </c>
      <c r="K77" s="12"/>
      <c r="L77" s="12"/>
      <c r="M77" s="12" t="s">
        <v>70</v>
      </c>
      <c r="N77" s="12"/>
    </row>
    <row r="78" customFormat="false" ht="15" hidden="false" customHeight="false" outlineLevel="0" collapsed="false">
      <c r="A78" s="13" t="s">
        <v>50</v>
      </c>
      <c r="B78" s="12" t="s">
        <v>22</v>
      </c>
      <c r="C78" s="12" t="s">
        <v>20</v>
      </c>
      <c r="D78" s="13" t="s">
        <v>40</v>
      </c>
      <c r="E78" s="14" t="n">
        <v>44132</v>
      </c>
      <c r="F78" s="15" t="n">
        <f aca="false">ROUND((IF(K78="",DATE(2026,9,30),K78)-E78)/365.25,1)</f>
        <v>5.9</v>
      </c>
      <c r="G78" s="12"/>
      <c r="H78" s="16" t="n">
        <v>45658</v>
      </c>
      <c r="I78" s="12" t="s">
        <v>41</v>
      </c>
      <c r="J78" s="12" t="s">
        <v>47</v>
      </c>
      <c r="K78" s="12"/>
      <c r="L78" s="12"/>
      <c r="M78" s="12" t="s">
        <v>70</v>
      </c>
      <c r="N78" s="12"/>
    </row>
    <row r="79" customFormat="false" ht="15" hidden="false" customHeight="false" outlineLevel="0" collapsed="false">
      <c r="A79" s="13" t="s">
        <v>131</v>
      </c>
      <c r="B79" s="12" t="s">
        <v>22</v>
      </c>
      <c r="C79" s="12" t="s">
        <v>20</v>
      </c>
      <c r="D79" s="13" t="s">
        <v>45</v>
      </c>
      <c r="E79" s="14" t="n">
        <v>42451</v>
      </c>
      <c r="F79" s="15" t="n">
        <f aca="false">ROUND((IF(K79="",DATE(2026,9,30),K79)-E79)/365.25,1)</f>
        <v>10.5</v>
      </c>
      <c r="G79" s="12"/>
      <c r="H79" s="16" t="n">
        <v>45658</v>
      </c>
      <c r="I79" s="12" t="s">
        <v>41</v>
      </c>
      <c r="J79" s="12" t="s">
        <v>47</v>
      </c>
      <c r="K79" s="12"/>
      <c r="L79" s="12"/>
      <c r="M79" s="12" t="s">
        <v>70</v>
      </c>
      <c r="N79" s="12"/>
    </row>
    <row r="80" customFormat="false" ht="15" hidden="false" customHeight="false" outlineLevel="0" collapsed="false">
      <c r="A80" s="13" t="s">
        <v>132</v>
      </c>
      <c r="B80" s="12" t="s">
        <v>22</v>
      </c>
      <c r="C80" s="12" t="s">
        <v>20</v>
      </c>
      <c r="D80" s="13" t="s">
        <v>40</v>
      </c>
      <c r="E80" s="14" t="n">
        <v>43609</v>
      </c>
      <c r="F80" s="15" t="n">
        <f aca="false">ROUND((IF(K80="",DATE(2026,9,30),K80)-E80)/365.25,1)</f>
        <v>7.4</v>
      </c>
      <c r="G80" s="12"/>
      <c r="H80" s="16" t="n">
        <v>45658</v>
      </c>
      <c r="I80" s="12" t="s">
        <v>41</v>
      </c>
      <c r="J80" s="12" t="s">
        <v>47</v>
      </c>
      <c r="K80" s="12"/>
      <c r="L80" s="12"/>
      <c r="M80" s="12" t="s">
        <v>70</v>
      </c>
      <c r="N80" s="12"/>
    </row>
    <row r="81" customFormat="false" ht="15" hidden="false" customHeight="false" outlineLevel="0" collapsed="false">
      <c r="A81" s="13" t="s">
        <v>133</v>
      </c>
      <c r="B81" s="12" t="s">
        <v>22</v>
      </c>
      <c r="C81" s="12" t="s">
        <v>20</v>
      </c>
      <c r="D81" s="13" t="s">
        <v>53</v>
      </c>
      <c r="E81" s="14" t="n">
        <v>43207</v>
      </c>
      <c r="F81" s="15" t="n">
        <f aca="false">ROUND((IF(K81="",DATE(2026,9,30),K81)-E81)/365.25,1)</f>
        <v>8.5</v>
      </c>
      <c r="G81" s="12"/>
      <c r="H81" s="16" t="n">
        <v>45658</v>
      </c>
      <c r="I81" s="12" t="s">
        <v>41</v>
      </c>
      <c r="J81" s="12" t="s">
        <v>47</v>
      </c>
      <c r="K81" s="12"/>
      <c r="L81" s="12"/>
      <c r="M81" s="12" t="s">
        <v>70</v>
      </c>
      <c r="N81" s="12"/>
    </row>
    <row r="82" customFormat="false" ht="15" hidden="false" customHeight="false" outlineLevel="0" collapsed="false">
      <c r="A82" s="13" t="s">
        <v>68</v>
      </c>
      <c r="B82" s="12" t="s">
        <v>22</v>
      </c>
      <c r="C82" s="12" t="s">
        <v>20</v>
      </c>
      <c r="D82" s="13" t="s">
        <v>40</v>
      </c>
      <c r="E82" s="14" t="n">
        <v>43868</v>
      </c>
      <c r="F82" s="15" t="n">
        <f aca="false">ROUND((IF(K82="",DATE(2026,9,30),K82)-E82)/365.25,1)</f>
        <v>6.6</v>
      </c>
      <c r="G82" s="12"/>
      <c r="H82" s="16" t="n">
        <v>45658</v>
      </c>
      <c r="I82" s="12" t="s">
        <v>41</v>
      </c>
      <c r="J82" s="12" t="s">
        <v>47</v>
      </c>
      <c r="K82" s="12"/>
      <c r="L82" s="12"/>
      <c r="M82" s="12" t="s">
        <v>70</v>
      </c>
      <c r="N82" s="12"/>
    </row>
    <row r="83" customFormat="false" ht="15" hidden="false" customHeight="false" outlineLevel="0" collapsed="false">
      <c r="A83" s="13" t="s">
        <v>134</v>
      </c>
      <c r="B83" s="12" t="s">
        <v>22</v>
      </c>
      <c r="C83" s="12" t="s">
        <v>20</v>
      </c>
      <c r="D83" s="13" t="s">
        <v>53</v>
      </c>
      <c r="E83" s="14" t="n">
        <v>42972</v>
      </c>
      <c r="F83" s="15" t="n">
        <f aca="false">ROUND((IF(K83="",DATE(2026,9,30),K83)-E83)/365.25,1)</f>
        <v>9.1</v>
      </c>
      <c r="G83" s="12"/>
      <c r="H83" s="16" t="n">
        <v>45658</v>
      </c>
      <c r="I83" s="12" t="s">
        <v>41</v>
      </c>
      <c r="J83" s="12" t="s">
        <v>47</v>
      </c>
      <c r="K83" s="12"/>
      <c r="L83" s="12"/>
      <c r="M83" s="12" t="s">
        <v>70</v>
      </c>
      <c r="N83" s="12"/>
    </row>
    <row r="84" customFormat="false" ht="15" hidden="false" customHeight="false" outlineLevel="0" collapsed="false">
      <c r="A84" s="13" t="s">
        <v>135</v>
      </c>
      <c r="B84" s="12" t="s">
        <v>22</v>
      </c>
      <c r="C84" s="12" t="s">
        <v>20</v>
      </c>
      <c r="D84" s="13" t="s">
        <v>53</v>
      </c>
      <c r="E84" s="14" t="n">
        <v>44527</v>
      </c>
      <c r="F84" s="15" t="n">
        <f aca="false">ROUND((IF(K84="",DATE(2026,9,30),K84)-E84)/365.25,1)</f>
        <v>4.8</v>
      </c>
      <c r="G84" s="12"/>
      <c r="H84" s="16" t="n">
        <v>45658</v>
      </c>
      <c r="I84" s="12" t="s">
        <v>41</v>
      </c>
      <c r="J84" s="12" t="s">
        <v>47</v>
      </c>
      <c r="K84" s="12"/>
      <c r="L84" s="12"/>
      <c r="M84" s="12" t="s">
        <v>70</v>
      </c>
      <c r="N84" s="12"/>
    </row>
    <row r="85" customFormat="false" ht="15" hidden="false" customHeight="false" outlineLevel="0" collapsed="false">
      <c r="A85" s="13" t="s">
        <v>136</v>
      </c>
      <c r="B85" s="12" t="s">
        <v>22</v>
      </c>
      <c r="C85" s="12" t="s">
        <v>20</v>
      </c>
      <c r="D85" s="13" t="s">
        <v>40</v>
      </c>
      <c r="E85" s="14" t="n">
        <v>43368</v>
      </c>
      <c r="F85" s="15" t="n">
        <f aca="false">ROUND((IF(K85="",DATE(2026,9,30),K85)-E85)/365.25,1)</f>
        <v>7</v>
      </c>
      <c r="G85" s="12"/>
      <c r="H85" s="16" t="n">
        <v>45658</v>
      </c>
      <c r="I85" s="12" t="s">
        <v>41</v>
      </c>
      <c r="J85" s="12" t="s">
        <v>55</v>
      </c>
      <c r="K85" s="17" t="n">
        <v>45934</v>
      </c>
      <c r="L85" s="12"/>
      <c r="M85" s="12" t="s">
        <v>70</v>
      </c>
      <c r="N85" s="12"/>
    </row>
    <row r="86" customFormat="false" ht="15" hidden="false" customHeight="false" outlineLevel="0" collapsed="false">
      <c r="A86" s="13" t="s">
        <v>137</v>
      </c>
      <c r="B86" s="12" t="s">
        <v>22</v>
      </c>
      <c r="C86" s="12" t="s">
        <v>20</v>
      </c>
      <c r="D86" s="13" t="s">
        <v>40</v>
      </c>
      <c r="E86" s="14" t="n">
        <v>43298</v>
      </c>
      <c r="F86" s="15" t="n">
        <f aca="false">ROUND((IF(K86="",DATE(2026,9,30),K86)-E86)/365.25,1)</f>
        <v>7.3</v>
      </c>
      <c r="G86" s="12"/>
      <c r="H86" s="16" t="n">
        <v>45658</v>
      </c>
      <c r="I86" s="12" t="s">
        <v>41</v>
      </c>
      <c r="J86" s="12" t="s">
        <v>55</v>
      </c>
      <c r="K86" s="17" t="n">
        <v>45960</v>
      </c>
      <c r="L86" s="12"/>
      <c r="M86" s="12" t="s">
        <v>70</v>
      </c>
      <c r="N86" s="12"/>
    </row>
    <row r="87" customFormat="false" ht="15" hidden="false" customHeight="false" outlineLevel="0" collapsed="false">
      <c r="A87" s="13" t="s">
        <v>138</v>
      </c>
      <c r="B87" s="12" t="s">
        <v>22</v>
      </c>
      <c r="C87" s="12" t="s">
        <v>20</v>
      </c>
      <c r="D87" s="13" t="s">
        <v>45</v>
      </c>
      <c r="E87" s="14" t="n">
        <v>44640</v>
      </c>
      <c r="F87" s="15" t="n">
        <f aca="false">ROUND((IF(K87="",DATE(2026,9,30),K87)-E87)/365.25,1)</f>
        <v>3.2</v>
      </c>
      <c r="G87" s="12"/>
      <c r="H87" s="16" t="n">
        <v>45658</v>
      </c>
      <c r="I87" s="12" t="s">
        <v>41</v>
      </c>
      <c r="J87" s="12" t="s">
        <v>42</v>
      </c>
      <c r="K87" s="17" t="n">
        <v>45810</v>
      </c>
      <c r="L87" s="12"/>
      <c r="M87" s="12" t="s">
        <v>70</v>
      </c>
      <c r="N87" s="12"/>
    </row>
    <row r="88" customFormat="false" ht="15" hidden="false" customHeight="false" outlineLevel="0" collapsed="false">
      <c r="A88" s="13" t="s">
        <v>139</v>
      </c>
      <c r="B88" s="12" t="s">
        <v>22</v>
      </c>
      <c r="C88" s="12" t="s">
        <v>20</v>
      </c>
      <c r="D88" s="13" t="s">
        <v>45</v>
      </c>
      <c r="E88" s="14" t="n">
        <v>42477</v>
      </c>
      <c r="F88" s="15" t="n">
        <f aca="false">ROUND((IF(K88="",DATE(2026,9,30),K88)-E88)/365.25,1)</f>
        <v>9.5</v>
      </c>
      <c r="G88" s="12"/>
      <c r="H88" s="16" t="n">
        <v>45658</v>
      </c>
      <c r="I88" s="12" t="s">
        <v>41</v>
      </c>
      <c r="J88" s="12" t="s">
        <v>55</v>
      </c>
      <c r="K88" s="17" t="n">
        <v>45958</v>
      </c>
      <c r="L88" s="12"/>
      <c r="M88" s="12" t="s">
        <v>70</v>
      </c>
      <c r="N88" s="12"/>
    </row>
    <row r="89" customFormat="false" ht="15" hidden="false" customHeight="false" outlineLevel="0" collapsed="false">
      <c r="A89" s="13" t="s">
        <v>140</v>
      </c>
      <c r="B89" s="12" t="s">
        <v>22</v>
      </c>
      <c r="C89" s="12" t="s">
        <v>20</v>
      </c>
      <c r="D89" s="13" t="s">
        <v>53</v>
      </c>
      <c r="E89" s="14" t="n">
        <v>42948</v>
      </c>
      <c r="F89" s="15" t="n">
        <f aca="false">ROUND((IF(K89="",DATE(2026,9,30),K89)-E89)/365.25,1)</f>
        <v>9.2</v>
      </c>
      <c r="G89" s="12"/>
      <c r="H89" s="16" t="n">
        <v>45658</v>
      </c>
      <c r="I89" s="12" t="s">
        <v>41</v>
      </c>
      <c r="J89" s="12" t="s">
        <v>47</v>
      </c>
      <c r="K89" s="12"/>
      <c r="L89" s="12"/>
      <c r="M89" s="12" t="s">
        <v>70</v>
      </c>
      <c r="N89" s="12"/>
    </row>
    <row r="90" customFormat="false" ht="15" hidden="false" customHeight="false" outlineLevel="0" collapsed="false">
      <c r="A90" s="13" t="s">
        <v>141</v>
      </c>
      <c r="B90" s="12" t="s">
        <v>22</v>
      </c>
      <c r="C90" s="12" t="s">
        <v>20</v>
      </c>
      <c r="D90" s="13" t="s">
        <v>45</v>
      </c>
      <c r="E90" s="14" t="n">
        <v>43169</v>
      </c>
      <c r="F90" s="15" t="n">
        <f aca="false">ROUND((IF(K90="",DATE(2026,9,30),K90)-E90)/365.25,1)</f>
        <v>8.6</v>
      </c>
      <c r="G90" s="12"/>
      <c r="H90" s="16" t="n">
        <v>45658</v>
      </c>
      <c r="I90" s="12" t="s">
        <v>41</v>
      </c>
      <c r="J90" s="12" t="s">
        <v>47</v>
      </c>
      <c r="K90" s="12"/>
      <c r="L90" s="12"/>
      <c r="M90" s="12" t="s">
        <v>70</v>
      </c>
      <c r="N90" s="12"/>
    </row>
    <row r="91" customFormat="false" ht="15" hidden="false" customHeight="false" outlineLevel="0" collapsed="false">
      <c r="A91" s="13" t="s">
        <v>142</v>
      </c>
      <c r="B91" s="12" t="s">
        <v>22</v>
      </c>
      <c r="C91" s="12" t="s">
        <v>20</v>
      </c>
      <c r="D91" s="13" t="s">
        <v>53</v>
      </c>
      <c r="E91" s="14" t="n">
        <v>42920</v>
      </c>
      <c r="F91" s="15" t="n">
        <f aca="false">ROUND((IF(K91="",DATE(2026,9,30),K91)-E91)/365.25,1)</f>
        <v>9.2</v>
      </c>
      <c r="G91" s="12"/>
      <c r="H91" s="16" t="n">
        <v>45658</v>
      </c>
      <c r="I91" s="12" t="s">
        <v>41</v>
      </c>
      <c r="J91" s="12" t="s">
        <v>47</v>
      </c>
      <c r="K91" s="12"/>
      <c r="L91" s="12"/>
      <c r="M91" s="12" t="s">
        <v>70</v>
      </c>
      <c r="N91" s="12"/>
    </row>
    <row r="92" customFormat="false" ht="15" hidden="false" customHeight="false" outlineLevel="0" collapsed="false">
      <c r="A92" s="13" t="s">
        <v>143</v>
      </c>
      <c r="B92" s="12" t="s">
        <v>22</v>
      </c>
      <c r="C92" s="12" t="s">
        <v>20</v>
      </c>
      <c r="D92" s="13" t="s">
        <v>40</v>
      </c>
      <c r="E92" s="14" t="n">
        <v>43110</v>
      </c>
      <c r="F92" s="15" t="n">
        <f aca="false">ROUND((IF(K92="",DATE(2026,9,30),K92)-E92)/365.25,1)</f>
        <v>8.7</v>
      </c>
      <c r="G92" s="12"/>
      <c r="H92" s="16" t="n">
        <v>45658</v>
      </c>
      <c r="I92" s="12" t="s">
        <v>41</v>
      </c>
      <c r="J92" s="12" t="s">
        <v>47</v>
      </c>
      <c r="K92" s="12"/>
      <c r="L92" s="12"/>
      <c r="M92" s="12" t="s">
        <v>70</v>
      </c>
      <c r="N92" s="12"/>
    </row>
    <row r="93" customFormat="false" ht="15" hidden="false" customHeight="false" outlineLevel="0" collapsed="false">
      <c r="A93" s="13" t="s">
        <v>65</v>
      </c>
      <c r="B93" s="12" t="s">
        <v>22</v>
      </c>
      <c r="C93" s="12" t="s">
        <v>20</v>
      </c>
      <c r="D93" s="13" t="s">
        <v>53</v>
      </c>
      <c r="E93" s="14" t="n">
        <v>43451</v>
      </c>
      <c r="F93" s="15" t="n">
        <f aca="false">ROUND((IF(K93="",DATE(2026,9,30),K93)-E93)/365.25,1)</f>
        <v>7.8</v>
      </c>
      <c r="G93" s="12"/>
      <c r="H93" s="16" t="n">
        <v>45658</v>
      </c>
      <c r="I93" s="12" t="s">
        <v>41</v>
      </c>
      <c r="J93" s="12" t="s">
        <v>47</v>
      </c>
      <c r="K93" s="12"/>
      <c r="L93" s="12"/>
      <c r="M93" s="12" t="s">
        <v>70</v>
      </c>
      <c r="N93" s="12"/>
    </row>
    <row r="94" customFormat="false" ht="15" hidden="false" customHeight="false" outlineLevel="0" collapsed="false">
      <c r="A94" s="13" t="s">
        <v>144</v>
      </c>
      <c r="B94" s="12" t="s">
        <v>22</v>
      </c>
      <c r="C94" s="12" t="s">
        <v>20</v>
      </c>
      <c r="D94" s="13" t="s">
        <v>45</v>
      </c>
      <c r="E94" s="14" t="n">
        <v>43351</v>
      </c>
      <c r="F94" s="15" t="n">
        <f aca="false">ROUND((IF(K94="",DATE(2026,9,30),K94)-E94)/365.25,1)</f>
        <v>8.1</v>
      </c>
      <c r="G94" s="12"/>
      <c r="H94" s="16" t="n">
        <v>45658</v>
      </c>
      <c r="I94" s="12" t="s">
        <v>41</v>
      </c>
      <c r="J94" s="12" t="s">
        <v>47</v>
      </c>
      <c r="K94" s="12"/>
      <c r="L94" s="12"/>
      <c r="M94" s="12" t="s">
        <v>70</v>
      </c>
      <c r="N94" s="12"/>
    </row>
    <row r="95" customFormat="false" ht="15" hidden="false" customHeight="false" outlineLevel="0" collapsed="false">
      <c r="A95" s="13" t="s">
        <v>145</v>
      </c>
      <c r="B95" s="12" t="s">
        <v>22</v>
      </c>
      <c r="C95" s="12" t="s">
        <v>20</v>
      </c>
      <c r="D95" s="13" t="s">
        <v>45</v>
      </c>
      <c r="E95" s="14" t="n">
        <v>42668</v>
      </c>
      <c r="F95" s="15" t="n">
        <f aca="false">ROUND((IF(K95="",DATE(2026,9,30),K95)-E95)/365.25,1)</f>
        <v>8.7</v>
      </c>
      <c r="G95" s="12"/>
      <c r="H95" s="16" t="n">
        <v>45658</v>
      </c>
      <c r="I95" s="12" t="s">
        <v>41</v>
      </c>
      <c r="J95" s="12" t="s">
        <v>42</v>
      </c>
      <c r="K95" s="17" t="n">
        <v>45830</v>
      </c>
      <c r="L95" s="12"/>
      <c r="M95" s="12" t="s">
        <v>70</v>
      </c>
      <c r="N95" s="12"/>
    </row>
    <row r="96" customFormat="false" ht="15" hidden="false" customHeight="false" outlineLevel="0" collapsed="false">
      <c r="A96" s="13" t="s">
        <v>146</v>
      </c>
      <c r="B96" s="12" t="s">
        <v>22</v>
      </c>
      <c r="C96" s="12" t="s">
        <v>20</v>
      </c>
      <c r="D96" s="13" t="s">
        <v>53</v>
      </c>
      <c r="E96" s="14" t="n">
        <v>44056</v>
      </c>
      <c r="F96" s="15" t="n">
        <f aca="false">ROUND((IF(K96="",DATE(2026,9,30),K96)-E96)/365.25,1)</f>
        <v>6.1</v>
      </c>
      <c r="G96" s="12"/>
      <c r="H96" s="16" t="n">
        <v>45658</v>
      </c>
      <c r="I96" s="12" t="s">
        <v>41</v>
      </c>
      <c r="J96" s="12" t="s">
        <v>47</v>
      </c>
      <c r="K96" s="12"/>
      <c r="L96" s="12"/>
      <c r="M96" s="12" t="s">
        <v>70</v>
      </c>
      <c r="N96" s="12"/>
    </row>
    <row r="97" customFormat="false" ht="15" hidden="false" customHeight="false" outlineLevel="0" collapsed="false">
      <c r="A97" s="13" t="s">
        <v>147</v>
      </c>
      <c r="B97" s="12" t="s">
        <v>22</v>
      </c>
      <c r="C97" s="12" t="s">
        <v>20</v>
      </c>
      <c r="D97" s="13" t="s">
        <v>40</v>
      </c>
      <c r="E97" s="14" t="n">
        <v>43160</v>
      </c>
      <c r="F97" s="15" t="n">
        <f aca="false">ROUND((IF(K97="",DATE(2026,9,30),K97)-E97)/365.25,1)</f>
        <v>8.3</v>
      </c>
      <c r="G97" s="12"/>
      <c r="H97" s="16" t="n">
        <v>45658</v>
      </c>
      <c r="I97" s="12" t="s">
        <v>41</v>
      </c>
      <c r="J97" s="12" t="s">
        <v>55</v>
      </c>
      <c r="K97" s="17" t="n">
        <v>46185</v>
      </c>
      <c r="L97" s="12"/>
      <c r="M97" s="12" t="s">
        <v>70</v>
      </c>
      <c r="N97" s="12"/>
    </row>
    <row r="98" customFormat="false" ht="15" hidden="false" customHeight="false" outlineLevel="0" collapsed="false">
      <c r="A98" s="13" t="s">
        <v>148</v>
      </c>
      <c r="B98" s="12" t="s">
        <v>22</v>
      </c>
      <c r="C98" s="12" t="s">
        <v>20</v>
      </c>
      <c r="D98" s="13" t="s">
        <v>45</v>
      </c>
      <c r="E98" s="14" t="n">
        <v>42887</v>
      </c>
      <c r="F98" s="15" t="n">
        <f aca="false">ROUND((IF(K98="",DATE(2026,9,30),K98)-E98)/365.25,1)</f>
        <v>9.3</v>
      </c>
      <c r="G98" s="12"/>
      <c r="H98" s="16" t="n">
        <v>45658</v>
      </c>
      <c r="I98" s="12" t="s">
        <v>41</v>
      </c>
      <c r="J98" s="12" t="s">
        <v>47</v>
      </c>
      <c r="K98" s="12"/>
      <c r="L98" s="12"/>
      <c r="M98" s="12" t="s">
        <v>70</v>
      </c>
      <c r="N98" s="12"/>
    </row>
    <row r="99" customFormat="false" ht="15" hidden="false" customHeight="false" outlineLevel="0" collapsed="false">
      <c r="A99" s="13" t="s">
        <v>149</v>
      </c>
      <c r="B99" s="12" t="s">
        <v>22</v>
      </c>
      <c r="C99" s="12" t="s">
        <v>20</v>
      </c>
      <c r="D99" s="13" t="s">
        <v>53</v>
      </c>
      <c r="E99" s="14" t="n">
        <v>44020</v>
      </c>
      <c r="F99" s="15" t="n">
        <f aca="false">ROUND((IF(K99="",DATE(2026,9,30),K99)-E99)/365.25,1)</f>
        <v>6.2</v>
      </c>
      <c r="G99" s="12"/>
      <c r="H99" s="16" t="n">
        <v>45658</v>
      </c>
      <c r="I99" s="12" t="s">
        <v>41</v>
      </c>
      <c r="J99" s="12" t="s">
        <v>47</v>
      </c>
      <c r="K99" s="12"/>
      <c r="L99" s="12"/>
      <c r="M99" s="12" t="s">
        <v>70</v>
      </c>
      <c r="N99" s="12"/>
    </row>
    <row r="100" customFormat="false" ht="15" hidden="false" customHeight="false" outlineLevel="0" collapsed="false">
      <c r="A100" s="13" t="s">
        <v>60</v>
      </c>
      <c r="B100" s="12" t="s">
        <v>22</v>
      </c>
      <c r="C100" s="12" t="s">
        <v>20</v>
      </c>
      <c r="D100" s="13" t="s">
        <v>40</v>
      </c>
      <c r="E100" s="14" t="n">
        <v>43512</v>
      </c>
      <c r="F100" s="15" t="n">
        <f aca="false">ROUND((IF(K100="",DATE(2026,9,30),K100)-E100)/365.25,1)</f>
        <v>7.6</v>
      </c>
      <c r="G100" s="12"/>
      <c r="H100" s="16" t="n">
        <v>45658</v>
      </c>
      <c r="I100" s="12" t="s">
        <v>41</v>
      </c>
      <c r="J100" s="12" t="s">
        <v>47</v>
      </c>
      <c r="K100" s="12"/>
      <c r="L100" s="12"/>
      <c r="M100" s="12" t="s">
        <v>70</v>
      </c>
      <c r="N100" s="12"/>
    </row>
    <row r="101" customFormat="false" ht="15" hidden="false" customHeight="false" outlineLevel="0" collapsed="false">
      <c r="A101" s="13" t="s">
        <v>150</v>
      </c>
      <c r="B101" s="12" t="s">
        <v>22</v>
      </c>
      <c r="C101" s="12" t="s">
        <v>20</v>
      </c>
      <c r="D101" s="13" t="s">
        <v>40</v>
      </c>
      <c r="E101" s="14" t="n">
        <v>43822</v>
      </c>
      <c r="F101" s="15" t="n">
        <f aca="false">ROUND((IF(K101="",DATE(2026,9,30),K101)-E101)/365.25,1)</f>
        <v>6.8</v>
      </c>
      <c r="G101" s="12"/>
      <c r="H101" s="16" t="n">
        <v>45658</v>
      </c>
      <c r="I101" s="12" t="s">
        <v>41</v>
      </c>
      <c r="J101" s="12" t="s">
        <v>47</v>
      </c>
      <c r="K101" s="12"/>
      <c r="L101" s="12"/>
      <c r="M101" s="12" t="s">
        <v>70</v>
      </c>
      <c r="N101" s="12"/>
    </row>
    <row r="102" customFormat="false" ht="15" hidden="false" customHeight="false" outlineLevel="0" collapsed="false">
      <c r="A102" s="13" t="s">
        <v>151</v>
      </c>
      <c r="B102" s="12" t="s">
        <v>22</v>
      </c>
      <c r="C102" s="12" t="s">
        <v>20</v>
      </c>
      <c r="D102" s="13" t="s">
        <v>53</v>
      </c>
      <c r="E102" s="14" t="n">
        <v>44624</v>
      </c>
      <c r="F102" s="15" t="n">
        <f aca="false">ROUND((IF(K102="",DATE(2026,9,30),K102)-E102)/365.25,1)</f>
        <v>4.6</v>
      </c>
      <c r="G102" s="12"/>
      <c r="H102" s="16" t="n">
        <v>45658</v>
      </c>
      <c r="I102" s="12" t="s">
        <v>41</v>
      </c>
      <c r="J102" s="12" t="s">
        <v>47</v>
      </c>
      <c r="K102" s="12"/>
      <c r="L102" s="12"/>
      <c r="M102" s="12" t="s">
        <v>70</v>
      </c>
      <c r="N102" s="12"/>
    </row>
    <row r="103" customFormat="false" ht="15" hidden="false" customHeight="false" outlineLevel="0" collapsed="false">
      <c r="A103" s="13" t="s">
        <v>152</v>
      </c>
      <c r="B103" s="12" t="s">
        <v>22</v>
      </c>
      <c r="C103" s="12" t="s">
        <v>19</v>
      </c>
      <c r="D103" s="13" t="s">
        <v>40</v>
      </c>
      <c r="E103" s="14" t="n">
        <v>45448</v>
      </c>
      <c r="F103" s="15" t="n">
        <f aca="false">ROUND((IF(K103="",DATE(2026,9,30),K103)-E103)/365.25,1)</f>
        <v>1.9</v>
      </c>
      <c r="G103" s="12"/>
      <c r="H103" s="16" t="n">
        <v>45658</v>
      </c>
      <c r="I103" s="12" t="s">
        <v>41</v>
      </c>
      <c r="J103" s="12" t="s">
        <v>42</v>
      </c>
      <c r="K103" s="17" t="n">
        <v>46133</v>
      </c>
      <c r="L103" s="12"/>
      <c r="M103" s="12" t="s">
        <v>70</v>
      </c>
      <c r="N103" s="12"/>
    </row>
    <row r="104" customFormat="false" ht="15" hidden="false" customHeight="false" outlineLevel="0" collapsed="false">
      <c r="A104" s="13" t="s">
        <v>153</v>
      </c>
      <c r="B104" s="12" t="s">
        <v>22</v>
      </c>
      <c r="C104" s="12" t="s">
        <v>19</v>
      </c>
      <c r="D104" s="13" t="s">
        <v>45</v>
      </c>
      <c r="E104" s="14" t="n">
        <v>45615</v>
      </c>
      <c r="F104" s="15" t="n">
        <f aca="false">ROUND((IF(K104="",DATE(2026,9,30),K104)-E104)/365.25,1)</f>
        <v>1.9</v>
      </c>
      <c r="G104" s="12"/>
      <c r="H104" s="16" t="n">
        <v>45658</v>
      </c>
      <c r="I104" s="12" t="s">
        <v>41</v>
      </c>
      <c r="J104" s="12" t="s">
        <v>47</v>
      </c>
      <c r="K104" s="12"/>
      <c r="L104" s="12"/>
      <c r="M104" s="12" t="s">
        <v>70</v>
      </c>
      <c r="N104" s="12"/>
    </row>
    <row r="105" customFormat="false" ht="15" hidden="false" customHeight="false" outlineLevel="0" collapsed="false">
      <c r="A105" s="13" t="s">
        <v>154</v>
      </c>
      <c r="B105" s="12" t="s">
        <v>22</v>
      </c>
      <c r="C105" s="12" t="s">
        <v>19</v>
      </c>
      <c r="D105" s="13" t="s">
        <v>53</v>
      </c>
      <c r="E105" s="14" t="n">
        <v>45385</v>
      </c>
      <c r="F105" s="15" t="n">
        <f aca="false">ROUND((IF(K105="",DATE(2026,9,30),K105)-E105)/365.25,1)</f>
        <v>2</v>
      </c>
      <c r="G105" s="12"/>
      <c r="H105" s="16" t="n">
        <v>45658</v>
      </c>
      <c r="I105" s="12" t="s">
        <v>41</v>
      </c>
      <c r="J105" s="12" t="s">
        <v>55</v>
      </c>
      <c r="K105" s="17" t="n">
        <v>46109</v>
      </c>
      <c r="L105" s="12"/>
      <c r="M105" s="12" t="s">
        <v>70</v>
      </c>
      <c r="N105" s="12"/>
    </row>
    <row r="106" customFormat="false" ht="15" hidden="false" customHeight="false" outlineLevel="0" collapsed="false">
      <c r="A106" s="13" t="s">
        <v>155</v>
      </c>
      <c r="B106" s="12" t="s">
        <v>22</v>
      </c>
      <c r="C106" s="12" t="s">
        <v>19</v>
      </c>
      <c r="D106" s="13" t="s">
        <v>40</v>
      </c>
      <c r="E106" s="14" t="n">
        <v>45462</v>
      </c>
      <c r="F106" s="15" t="n">
        <f aca="false">ROUND((IF(K106="",DATE(2026,9,30),K106)-E106)/365.25,1)</f>
        <v>2.3</v>
      </c>
      <c r="G106" s="12"/>
      <c r="H106" s="16" t="n">
        <v>45658</v>
      </c>
      <c r="I106" s="12" t="s">
        <v>41</v>
      </c>
      <c r="J106" s="12" t="s">
        <v>47</v>
      </c>
      <c r="K106" s="12"/>
      <c r="L106" s="12"/>
      <c r="M106" s="12" t="s">
        <v>70</v>
      </c>
      <c r="N106" s="12"/>
    </row>
    <row r="107" customFormat="false" ht="15" hidden="false" customHeight="false" outlineLevel="0" collapsed="false">
      <c r="A107" s="13" t="s">
        <v>156</v>
      </c>
      <c r="B107" s="12" t="s">
        <v>22</v>
      </c>
      <c r="C107" s="12" t="s">
        <v>19</v>
      </c>
      <c r="D107" s="13" t="s">
        <v>53</v>
      </c>
      <c r="E107" s="14" t="n">
        <v>45374</v>
      </c>
      <c r="F107" s="15" t="n">
        <f aca="false">ROUND((IF(K107="",DATE(2026,9,30),K107)-E107)/365.25,1)</f>
        <v>2</v>
      </c>
      <c r="G107" s="12"/>
      <c r="H107" s="16" t="n">
        <v>45658</v>
      </c>
      <c r="I107" s="12" t="s">
        <v>41</v>
      </c>
      <c r="J107" s="12" t="s">
        <v>55</v>
      </c>
      <c r="K107" s="17" t="n">
        <v>46109</v>
      </c>
      <c r="L107" s="12"/>
      <c r="M107" s="12" t="s">
        <v>70</v>
      </c>
      <c r="N107" s="12"/>
    </row>
    <row r="108" customFormat="false" ht="15" hidden="false" customHeight="false" outlineLevel="0" collapsed="false">
      <c r="A108" s="13" t="s">
        <v>157</v>
      </c>
      <c r="B108" s="12" t="s">
        <v>22</v>
      </c>
      <c r="C108" s="12" t="s">
        <v>19</v>
      </c>
      <c r="D108" s="13" t="s">
        <v>45</v>
      </c>
      <c r="E108" s="14" t="n">
        <v>45336</v>
      </c>
      <c r="F108" s="15" t="n">
        <f aca="false">ROUND((IF(K108="",DATE(2026,9,30),K108)-E108)/365.25,1)</f>
        <v>2.6</v>
      </c>
      <c r="G108" s="12"/>
      <c r="H108" s="16" t="n">
        <v>45658</v>
      </c>
      <c r="I108" s="12" t="s">
        <v>41</v>
      </c>
      <c r="J108" s="12" t="s">
        <v>47</v>
      </c>
      <c r="K108" s="12"/>
      <c r="L108" s="12"/>
      <c r="M108" s="12" t="s">
        <v>70</v>
      </c>
      <c r="N108" s="12"/>
    </row>
    <row r="109" customFormat="false" ht="15" hidden="false" customHeight="false" outlineLevel="0" collapsed="false">
      <c r="A109" s="13" t="s">
        <v>158</v>
      </c>
      <c r="B109" s="12" t="s">
        <v>22</v>
      </c>
      <c r="C109" s="12" t="s">
        <v>19</v>
      </c>
      <c r="D109" s="13" t="s">
        <v>40</v>
      </c>
      <c r="E109" s="14" t="n">
        <v>45541</v>
      </c>
      <c r="F109" s="15" t="n">
        <f aca="false">ROUND((IF(K109="",DATE(2026,9,30),K109)-E109)/365.25,1)</f>
        <v>2.1</v>
      </c>
      <c r="G109" s="12"/>
      <c r="H109" s="16" t="n">
        <v>45658</v>
      </c>
      <c r="I109" s="12" t="s">
        <v>41</v>
      </c>
      <c r="J109" s="12" t="s">
        <v>47</v>
      </c>
      <c r="K109" s="12"/>
      <c r="L109" s="12"/>
      <c r="M109" s="12" t="s">
        <v>70</v>
      </c>
      <c r="N109" s="12"/>
    </row>
    <row r="110" customFormat="false" ht="15" hidden="false" customHeight="false" outlineLevel="0" collapsed="false">
      <c r="A110" s="13" t="s">
        <v>159</v>
      </c>
      <c r="B110" s="12" t="s">
        <v>22</v>
      </c>
      <c r="C110" s="12" t="s">
        <v>19</v>
      </c>
      <c r="D110" s="13" t="s">
        <v>45</v>
      </c>
      <c r="E110" s="14" t="n">
        <v>45406</v>
      </c>
      <c r="F110" s="15" t="n">
        <f aca="false">ROUND((IF(K110="",DATE(2026,9,30),K110)-E110)/365.25,1)</f>
        <v>1.9</v>
      </c>
      <c r="G110" s="12"/>
      <c r="H110" s="16" t="n">
        <v>45658</v>
      </c>
      <c r="I110" s="12" t="s">
        <v>41</v>
      </c>
      <c r="J110" s="12" t="s">
        <v>55</v>
      </c>
      <c r="K110" s="17" t="n">
        <v>46109</v>
      </c>
      <c r="L110" s="12"/>
      <c r="M110" s="12" t="s">
        <v>70</v>
      </c>
      <c r="N110" s="12"/>
    </row>
    <row r="111" customFormat="false" ht="15" hidden="false" customHeight="false" outlineLevel="0" collapsed="false">
      <c r="A111" s="13" t="s">
        <v>160</v>
      </c>
      <c r="B111" s="12" t="s">
        <v>22</v>
      </c>
      <c r="C111" s="12" t="s">
        <v>19</v>
      </c>
      <c r="D111" s="13" t="s">
        <v>53</v>
      </c>
      <c r="E111" s="14" t="n">
        <v>45456</v>
      </c>
      <c r="F111" s="15" t="n">
        <f aca="false">ROUND((IF(K111="",DATE(2026,9,30),K111)-E111)/365.25,1)</f>
        <v>2.3</v>
      </c>
      <c r="G111" s="12"/>
      <c r="H111" s="16" t="n">
        <v>45658</v>
      </c>
      <c r="I111" s="12" t="s">
        <v>41</v>
      </c>
      <c r="J111" s="12" t="s">
        <v>47</v>
      </c>
      <c r="K111" s="12"/>
      <c r="L111" s="12"/>
      <c r="M111" s="12" t="s">
        <v>70</v>
      </c>
      <c r="N111" s="12"/>
    </row>
    <row r="112" customFormat="false" ht="15" hidden="false" customHeight="false" outlineLevel="0" collapsed="false">
      <c r="A112" s="13" t="s">
        <v>161</v>
      </c>
      <c r="B112" s="12" t="s">
        <v>22</v>
      </c>
      <c r="C112" s="12" t="s">
        <v>19</v>
      </c>
      <c r="D112" s="13" t="s">
        <v>45</v>
      </c>
      <c r="E112" s="14" t="n">
        <v>45509</v>
      </c>
      <c r="F112" s="15" t="n">
        <f aca="false">ROUND((IF(K112="",DATE(2026,9,30),K112)-E112)/365.25,1)</f>
        <v>2.2</v>
      </c>
      <c r="G112" s="12"/>
      <c r="H112" s="16" t="n">
        <v>45658</v>
      </c>
      <c r="I112" s="12" t="s">
        <v>41</v>
      </c>
      <c r="J112" s="12" t="s">
        <v>47</v>
      </c>
      <c r="K112" s="12"/>
      <c r="L112" s="12"/>
      <c r="M112" s="12" t="s">
        <v>70</v>
      </c>
      <c r="N112" s="12"/>
    </row>
    <row r="113" customFormat="false" ht="15" hidden="false" customHeight="false" outlineLevel="0" collapsed="false">
      <c r="A113" s="13" t="s">
        <v>162</v>
      </c>
      <c r="B113" s="12" t="s">
        <v>22</v>
      </c>
      <c r="C113" s="12" t="s">
        <v>19</v>
      </c>
      <c r="D113" s="13" t="s">
        <v>45</v>
      </c>
      <c r="E113" s="14" t="n">
        <v>45593</v>
      </c>
      <c r="F113" s="15" t="n">
        <f aca="false">ROUND((IF(K113="",DATE(2026,9,30),K113)-E113)/365.25,1)</f>
        <v>1.6</v>
      </c>
      <c r="G113" s="12"/>
      <c r="H113" s="16" t="n">
        <v>45658</v>
      </c>
      <c r="I113" s="12" t="s">
        <v>41</v>
      </c>
      <c r="J113" s="12" t="s">
        <v>163</v>
      </c>
      <c r="K113" s="17" t="n">
        <v>46168</v>
      </c>
      <c r="L113" s="12"/>
      <c r="M113" s="12" t="s">
        <v>70</v>
      </c>
      <c r="N113" s="12"/>
    </row>
    <row r="114" customFormat="false" ht="15" hidden="false" customHeight="false" outlineLevel="0" collapsed="false">
      <c r="A114" s="13" t="s">
        <v>164</v>
      </c>
      <c r="B114" s="12" t="s">
        <v>22</v>
      </c>
      <c r="C114" s="12" t="s">
        <v>19</v>
      </c>
      <c r="D114" s="13" t="s">
        <v>45</v>
      </c>
      <c r="E114" s="14" t="n">
        <v>45528</v>
      </c>
      <c r="F114" s="15" t="n">
        <f aca="false">ROUND((IF(K114="",DATE(2026,9,30),K114)-E114)/365.25,1)</f>
        <v>2.1</v>
      </c>
      <c r="G114" s="12"/>
      <c r="H114" s="16" t="n">
        <v>45658</v>
      </c>
      <c r="I114" s="12" t="s">
        <v>41</v>
      </c>
      <c r="J114" s="12" t="s">
        <v>47</v>
      </c>
      <c r="K114" s="12"/>
      <c r="L114" s="12"/>
      <c r="M114" s="12" t="s">
        <v>70</v>
      </c>
      <c r="N114" s="12"/>
    </row>
    <row r="115" customFormat="false" ht="15" hidden="false" customHeight="false" outlineLevel="0" collapsed="false">
      <c r="A115" s="13" t="s">
        <v>165</v>
      </c>
      <c r="B115" s="12" t="s">
        <v>22</v>
      </c>
      <c r="C115" s="12" t="s">
        <v>20</v>
      </c>
      <c r="D115" s="13" t="s">
        <v>40</v>
      </c>
      <c r="E115" s="14" t="n">
        <v>45540</v>
      </c>
      <c r="F115" s="15" t="n">
        <f aca="false">ROUND((IF(K115="",DATE(2026,9,30),K115)-E115)/365.25,1)</f>
        <v>2.1</v>
      </c>
      <c r="G115" s="12"/>
      <c r="H115" s="16" t="n">
        <v>45658</v>
      </c>
      <c r="I115" s="12" t="s">
        <v>41</v>
      </c>
      <c r="J115" s="12" t="s">
        <v>47</v>
      </c>
      <c r="K115" s="12"/>
      <c r="L115" s="12"/>
      <c r="M115" s="12" t="s">
        <v>70</v>
      </c>
      <c r="N115" s="12"/>
    </row>
    <row r="116" customFormat="false" ht="15" hidden="false" customHeight="false" outlineLevel="0" collapsed="false">
      <c r="A116" s="13" t="s">
        <v>166</v>
      </c>
      <c r="B116" s="12" t="s">
        <v>22</v>
      </c>
      <c r="C116" s="12" t="s">
        <v>20</v>
      </c>
      <c r="D116" s="13" t="s">
        <v>40</v>
      </c>
      <c r="E116" s="14" t="n">
        <v>45350</v>
      </c>
      <c r="F116" s="15" t="n">
        <f aca="false">ROUND((IF(K116="",DATE(2026,9,30),K116)-E116)/365.25,1)</f>
        <v>2.2</v>
      </c>
      <c r="G116" s="12"/>
      <c r="H116" s="16" t="n">
        <v>45658</v>
      </c>
      <c r="I116" s="12" t="s">
        <v>41</v>
      </c>
      <c r="J116" s="12" t="s">
        <v>42</v>
      </c>
      <c r="K116" s="17" t="n">
        <v>46158</v>
      </c>
      <c r="L116" s="12"/>
      <c r="M116" s="12" t="s">
        <v>70</v>
      </c>
      <c r="N116" s="12"/>
    </row>
    <row r="117" customFormat="false" ht="15" hidden="false" customHeight="false" outlineLevel="0" collapsed="false">
      <c r="A117" s="13" t="s">
        <v>167</v>
      </c>
      <c r="B117" s="12" t="s">
        <v>22</v>
      </c>
      <c r="C117" s="12" t="s">
        <v>20</v>
      </c>
      <c r="D117" s="13" t="s">
        <v>45</v>
      </c>
      <c r="E117" s="14" t="n">
        <v>45397</v>
      </c>
      <c r="F117" s="15" t="n">
        <f aca="false">ROUND((IF(K117="",DATE(2026,9,30),K117)-E117)/365.25,1)</f>
        <v>2.5</v>
      </c>
      <c r="G117" s="12"/>
      <c r="H117" s="16" t="n">
        <v>45658</v>
      </c>
      <c r="I117" s="12" t="s">
        <v>41</v>
      </c>
      <c r="J117" s="12" t="s">
        <v>47</v>
      </c>
      <c r="K117" s="12"/>
      <c r="L117" s="12"/>
      <c r="M117" s="12" t="s">
        <v>70</v>
      </c>
      <c r="N117" s="12"/>
    </row>
    <row r="118" customFormat="false" ht="15" hidden="false" customHeight="false" outlineLevel="0" collapsed="false">
      <c r="A118" s="13" t="s">
        <v>168</v>
      </c>
      <c r="B118" s="12" t="s">
        <v>22</v>
      </c>
      <c r="C118" s="12" t="s">
        <v>20</v>
      </c>
      <c r="D118" s="13" t="s">
        <v>53</v>
      </c>
      <c r="E118" s="14" t="n">
        <v>45532</v>
      </c>
      <c r="F118" s="15" t="n">
        <f aca="false">ROUND((IF(K118="",DATE(2026,9,30),K118)-E118)/365.25,1)</f>
        <v>2.1</v>
      </c>
      <c r="G118" s="12"/>
      <c r="H118" s="16" t="n">
        <v>45658</v>
      </c>
      <c r="I118" s="12" t="s">
        <v>41</v>
      </c>
      <c r="J118" s="12" t="s">
        <v>47</v>
      </c>
      <c r="K118" s="12"/>
      <c r="L118" s="12"/>
      <c r="M118" s="12" t="s">
        <v>70</v>
      </c>
      <c r="N118" s="12"/>
    </row>
    <row r="119" customFormat="false" ht="15" hidden="false" customHeight="false" outlineLevel="0" collapsed="false">
      <c r="A119" s="13" t="s">
        <v>169</v>
      </c>
      <c r="B119" s="12" t="s">
        <v>22</v>
      </c>
      <c r="C119" s="12" t="s">
        <v>20</v>
      </c>
      <c r="D119" s="13" t="s">
        <v>40</v>
      </c>
      <c r="E119" s="14" t="n">
        <v>45618</v>
      </c>
      <c r="F119" s="15" t="n">
        <f aca="false">ROUND((IF(K119="",DATE(2026,9,30),K119)-E119)/365.25,1)</f>
        <v>1.9</v>
      </c>
      <c r="G119" s="12"/>
      <c r="H119" s="16" t="n">
        <v>45658</v>
      </c>
      <c r="I119" s="12" t="s">
        <v>41</v>
      </c>
      <c r="J119" s="12" t="s">
        <v>47</v>
      </c>
      <c r="K119" s="12"/>
      <c r="L119" s="12"/>
      <c r="M119" s="12" t="s">
        <v>70</v>
      </c>
      <c r="N119" s="12"/>
    </row>
    <row r="120" customFormat="false" ht="15" hidden="false" customHeight="false" outlineLevel="0" collapsed="false">
      <c r="A120" s="13" t="s">
        <v>170</v>
      </c>
      <c r="B120" s="12" t="s">
        <v>22</v>
      </c>
      <c r="C120" s="12" t="s">
        <v>20</v>
      </c>
      <c r="D120" s="13" t="s">
        <v>40</v>
      </c>
      <c r="E120" s="14" t="n">
        <v>45357</v>
      </c>
      <c r="F120" s="15" t="n">
        <f aca="false">ROUND((IF(K120="",DATE(2026,9,30),K120)-E120)/365.25,1)</f>
        <v>2.6</v>
      </c>
      <c r="G120" s="12"/>
      <c r="H120" s="16" t="n">
        <v>45658</v>
      </c>
      <c r="I120" s="12" t="s">
        <v>41</v>
      </c>
      <c r="J120" s="12" t="s">
        <v>47</v>
      </c>
      <c r="K120" s="12"/>
      <c r="L120" s="12"/>
      <c r="M120" s="12" t="s">
        <v>70</v>
      </c>
      <c r="N120" s="12"/>
    </row>
    <row r="121" customFormat="false" ht="15" hidden="false" customHeight="false" outlineLevel="0" collapsed="false">
      <c r="A121" s="13" t="s">
        <v>171</v>
      </c>
      <c r="B121" s="12" t="s">
        <v>22</v>
      </c>
      <c r="C121" s="12" t="s">
        <v>20</v>
      </c>
      <c r="D121" s="13" t="s">
        <v>40</v>
      </c>
      <c r="E121" s="14" t="n">
        <v>45364</v>
      </c>
      <c r="F121" s="15" t="n">
        <f aca="false">ROUND((IF(K121="",DATE(2026,9,30),K121)-E121)/365.25,1)</f>
        <v>2.5</v>
      </c>
      <c r="G121" s="12"/>
      <c r="H121" s="16" t="n">
        <v>45658</v>
      </c>
      <c r="I121" s="12" t="s">
        <v>41</v>
      </c>
      <c r="J121" s="12" t="s">
        <v>47</v>
      </c>
      <c r="K121" s="12"/>
      <c r="L121" s="12"/>
      <c r="M121" s="12" t="s">
        <v>70</v>
      </c>
      <c r="N121" s="12"/>
    </row>
    <row r="122" customFormat="false" ht="15" hidden="false" customHeight="false" outlineLevel="0" collapsed="false">
      <c r="A122" s="13" t="s">
        <v>172</v>
      </c>
      <c r="B122" s="12" t="s">
        <v>22</v>
      </c>
      <c r="C122" s="12" t="s">
        <v>20</v>
      </c>
      <c r="D122" s="13" t="s">
        <v>45</v>
      </c>
      <c r="E122" s="14" t="n">
        <v>45546</v>
      </c>
      <c r="F122" s="15" t="n">
        <f aca="false">ROUND((IF(K122="",DATE(2026,9,30),K122)-E122)/365.25,1)</f>
        <v>2.1</v>
      </c>
      <c r="G122" s="12"/>
      <c r="H122" s="16" t="n">
        <v>45658</v>
      </c>
      <c r="I122" s="12" t="s">
        <v>41</v>
      </c>
      <c r="J122" s="12" t="s">
        <v>47</v>
      </c>
      <c r="K122" s="12"/>
      <c r="L122" s="12"/>
      <c r="M122" s="12" t="s">
        <v>70</v>
      </c>
      <c r="N122" s="12"/>
    </row>
    <row r="123" customFormat="false" ht="15" hidden="false" customHeight="false" outlineLevel="0" collapsed="false">
      <c r="A123" s="13" t="s">
        <v>173</v>
      </c>
      <c r="B123" s="12" t="s">
        <v>22</v>
      </c>
      <c r="C123" s="12" t="s">
        <v>19</v>
      </c>
      <c r="D123" s="13" t="s">
        <v>53</v>
      </c>
      <c r="E123" s="14" t="n">
        <v>45533</v>
      </c>
      <c r="F123" s="15" t="n">
        <f aca="false">ROUND((IF(K123="",DATE(2026,9,30),K123)-E123)/365.25,1)</f>
        <v>2.1</v>
      </c>
      <c r="G123" s="12"/>
      <c r="H123" s="16" t="n">
        <v>45658</v>
      </c>
      <c r="I123" s="12" t="s">
        <v>41</v>
      </c>
      <c r="J123" s="12" t="s">
        <v>47</v>
      </c>
      <c r="K123" s="12"/>
      <c r="L123" s="12"/>
      <c r="M123" s="12" t="s">
        <v>70</v>
      </c>
      <c r="N123" s="12" t="s">
        <v>58</v>
      </c>
    </row>
    <row r="124" customFormat="false" ht="15" hidden="false" customHeight="false" outlineLevel="0" collapsed="false">
      <c r="A124" s="13" t="s">
        <v>174</v>
      </c>
      <c r="B124" s="12" t="s">
        <v>22</v>
      </c>
      <c r="C124" s="12" t="s">
        <v>20</v>
      </c>
      <c r="D124" s="13" t="s">
        <v>53</v>
      </c>
      <c r="E124" s="14" t="n">
        <v>45489</v>
      </c>
      <c r="F124" s="15" t="n">
        <f aca="false">ROUND((IF(K124="",DATE(2026,9,30),K124)-E124)/365.25,1)</f>
        <v>2.2</v>
      </c>
      <c r="G124" s="12"/>
      <c r="H124" s="16" t="n">
        <v>45658</v>
      </c>
      <c r="I124" s="12" t="s">
        <v>41</v>
      </c>
      <c r="J124" s="12" t="s">
        <v>47</v>
      </c>
      <c r="K124" s="12"/>
      <c r="L124" s="12"/>
      <c r="M124" s="12" t="s">
        <v>70</v>
      </c>
      <c r="N124" s="12"/>
    </row>
    <row r="125" customFormat="false" ht="15" hidden="false" customHeight="false" outlineLevel="0" collapsed="false">
      <c r="A125" s="13" t="s">
        <v>175</v>
      </c>
      <c r="B125" s="12" t="s">
        <v>22</v>
      </c>
      <c r="C125" s="12" t="s">
        <v>20</v>
      </c>
      <c r="D125" s="13" t="s">
        <v>53</v>
      </c>
      <c r="E125" s="14" t="n">
        <v>45356</v>
      </c>
      <c r="F125" s="15" t="n">
        <f aca="false">ROUND((IF(K125="",DATE(2026,9,30),K125)-E125)/365.25,1)</f>
        <v>2.6</v>
      </c>
      <c r="G125" s="12"/>
      <c r="H125" s="16" t="n">
        <v>45658</v>
      </c>
      <c r="I125" s="12" t="s">
        <v>41</v>
      </c>
      <c r="J125" s="12" t="s">
        <v>47</v>
      </c>
      <c r="K125" s="12"/>
      <c r="L125" s="12"/>
      <c r="M125" s="12" t="s">
        <v>70</v>
      </c>
      <c r="N125" s="12"/>
    </row>
    <row r="126" customFormat="false" ht="15" hidden="false" customHeight="false" outlineLevel="0" collapsed="false">
      <c r="A126" s="13" t="s">
        <v>176</v>
      </c>
      <c r="B126" s="12" t="s">
        <v>22</v>
      </c>
      <c r="C126" s="12" t="s">
        <v>20</v>
      </c>
      <c r="D126" s="13" t="s">
        <v>53</v>
      </c>
      <c r="E126" s="14" t="n">
        <v>45588</v>
      </c>
      <c r="F126" s="15" t="n">
        <f aca="false">ROUND((IF(K126="",DATE(2026,9,30),K126)-E126)/365.25,1)</f>
        <v>0.9</v>
      </c>
      <c r="G126" s="12"/>
      <c r="H126" s="16" t="n">
        <v>45658</v>
      </c>
      <c r="I126" s="12" t="s">
        <v>41</v>
      </c>
      <c r="J126" s="12" t="s">
        <v>42</v>
      </c>
      <c r="K126" s="17" t="n">
        <v>45924</v>
      </c>
      <c r="L126" s="12"/>
      <c r="M126" s="12" t="s">
        <v>70</v>
      </c>
      <c r="N126" s="12"/>
    </row>
    <row r="127" customFormat="false" ht="15" hidden="false" customHeight="false" outlineLevel="0" collapsed="false">
      <c r="A127" s="13" t="s">
        <v>177</v>
      </c>
      <c r="B127" s="12" t="s">
        <v>22</v>
      </c>
      <c r="C127" s="12" t="s">
        <v>20</v>
      </c>
      <c r="D127" s="13" t="s">
        <v>40</v>
      </c>
      <c r="E127" s="14" t="n">
        <v>45472</v>
      </c>
      <c r="F127" s="15" t="n">
        <f aca="false">ROUND((IF(K127="",DATE(2026,9,30),K127)-E127)/365.25,1)</f>
        <v>2.3</v>
      </c>
      <c r="G127" s="12"/>
      <c r="H127" s="16" t="n">
        <v>45658</v>
      </c>
      <c r="I127" s="12" t="s">
        <v>41</v>
      </c>
      <c r="J127" s="12" t="s">
        <v>47</v>
      </c>
      <c r="K127" s="12"/>
      <c r="L127" s="12"/>
      <c r="M127" s="12" t="s">
        <v>70</v>
      </c>
      <c r="N127" s="12"/>
    </row>
    <row r="128" customFormat="false" ht="15" hidden="false" customHeight="false" outlineLevel="0" collapsed="false">
      <c r="A128" s="13" t="s">
        <v>178</v>
      </c>
      <c r="B128" s="12" t="s">
        <v>22</v>
      </c>
      <c r="C128" s="12" t="s">
        <v>20</v>
      </c>
      <c r="D128" s="13" t="s">
        <v>40</v>
      </c>
      <c r="E128" s="14" t="n">
        <v>45452</v>
      </c>
      <c r="F128" s="15" t="n">
        <f aca="false">ROUND((IF(K128="",DATE(2026,9,30),K128)-E128)/365.25,1)</f>
        <v>2.3</v>
      </c>
      <c r="G128" s="12"/>
      <c r="H128" s="16" t="n">
        <v>45658</v>
      </c>
      <c r="I128" s="12" t="s">
        <v>41</v>
      </c>
      <c r="J128" s="12" t="s">
        <v>47</v>
      </c>
      <c r="K128" s="12"/>
      <c r="L128" s="12"/>
      <c r="M128" s="12" t="s">
        <v>70</v>
      </c>
      <c r="N128" s="12"/>
    </row>
    <row r="129" customFormat="false" ht="15" hidden="false" customHeight="false" outlineLevel="0" collapsed="false">
      <c r="A129" s="13" t="s">
        <v>179</v>
      </c>
      <c r="B129" s="12" t="s">
        <v>22</v>
      </c>
      <c r="C129" s="12" t="s">
        <v>20</v>
      </c>
      <c r="D129" s="13" t="s">
        <v>53</v>
      </c>
      <c r="E129" s="14" t="n">
        <v>45494</v>
      </c>
      <c r="F129" s="15" t="n">
        <f aca="false">ROUND((IF(K129="",DATE(2026,9,30),K129)-E129)/365.25,1)</f>
        <v>2.2</v>
      </c>
      <c r="G129" s="12"/>
      <c r="H129" s="16" t="n">
        <v>45658</v>
      </c>
      <c r="I129" s="12" t="s">
        <v>41</v>
      </c>
      <c r="J129" s="12" t="s">
        <v>47</v>
      </c>
      <c r="K129" s="12"/>
      <c r="L129" s="12"/>
      <c r="M129" s="12" t="s">
        <v>70</v>
      </c>
      <c r="N129" s="12"/>
    </row>
    <row r="130" customFormat="false" ht="15" hidden="false" customHeight="false" outlineLevel="0" collapsed="false">
      <c r="A130" s="13" t="s">
        <v>180</v>
      </c>
      <c r="B130" s="12" t="s">
        <v>22</v>
      </c>
      <c r="C130" s="12" t="s">
        <v>20</v>
      </c>
      <c r="D130" s="13" t="s">
        <v>53</v>
      </c>
      <c r="E130" s="14" t="n">
        <v>45374</v>
      </c>
      <c r="F130" s="15" t="n">
        <f aca="false">ROUND((IF(K130="",DATE(2026,9,30),K130)-E130)/365.25,1)</f>
        <v>2.5</v>
      </c>
      <c r="G130" s="12"/>
      <c r="H130" s="16" t="n">
        <v>45658</v>
      </c>
      <c r="I130" s="12" t="s">
        <v>41</v>
      </c>
      <c r="J130" s="12" t="s">
        <v>47</v>
      </c>
      <c r="K130" s="12"/>
      <c r="L130" s="12"/>
      <c r="M130" s="12" t="s">
        <v>70</v>
      </c>
      <c r="N130" s="12"/>
    </row>
    <row r="131" customFormat="false" ht="15" hidden="false" customHeight="false" outlineLevel="0" collapsed="false">
      <c r="A131" s="13" t="s">
        <v>181</v>
      </c>
      <c r="B131" s="12" t="s">
        <v>22</v>
      </c>
      <c r="C131" s="12" t="s">
        <v>20</v>
      </c>
      <c r="D131" s="13" t="s">
        <v>53</v>
      </c>
      <c r="E131" s="14" t="n">
        <v>45481</v>
      </c>
      <c r="F131" s="15" t="n">
        <f aca="false">ROUND((IF(K131="",DATE(2026,9,30),K131)-E131)/365.25,1)</f>
        <v>2.2</v>
      </c>
      <c r="G131" s="12"/>
      <c r="H131" s="16" t="n">
        <v>45658</v>
      </c>
      <c r="I131" s="12" t="s">
        <v>41</v>
      </c>
      <c r="J131" s="12" t="s">
        <v>47</v>
      </c>
      <c r="K131" s="12"/>
      <c r="L131" s="12"/>
      <c r="M131" s="12" t="s">
        <v>70</v>
      </c>
      <c r="N131" s="12"/>
    </row>
    <row r="132" customFormat="false" ht="15" hidden="false" customHeight="false" outlineLevel="0" collapsed="false">
      <c r="A132" s="13" t="s">
        <v>182</v>
      </c>
      <c r="B132" s="12" t="s">
        <v>22</v>
      </c>
      <c r="C132" s="12" t="s">
        <v>20</v>
      </c>
      <c r="D132" s="13" t="s">
        <v>53</v>
      </c>
      <c r="E132" s="14" t="n">
        <v>45538</v>
      </c>
      <c r="F132" s="15" t="n">
        <f aca="false">ROUND((IF(K132="",DATE(2026,9,30),K132)-E132)/365.25,1)</f>
        <v>2.1</v>
      </c>
      <c r="G132" s="12"/>
      <c r="H132" s="16" t="n">
        <v>45658</v>
      </c>
      <c r="I132" s="12" t="s">
        <v>41</v>
      </c>
      <c r="J132" s="12" t="s">
        <v>47</v>
      </c>
      <c r="K132" s="12"/>
      <c r="L132" s="12"/>
      <c r="M132" s="12" t="s">
        <v>70</v>
      </c>
      <c r="N132" s="12"/>
    </row>
    <row r="133" customFormat="false" ht="15" hidden="false" customHeight="false" outlineLevel="0" collapsed="false">
      <c r="A133" s="13" t="s">
        <v>183</v>
      </c>
      <c r="B133" s="12" t="s">
        <v>22</v>
      </c>
      <c r="C133" s="12" t="s">
        <v>20</v>
      </c>
      <c r="D133" s="13" t="s">
        <v>53</v>
      </c>
      <c r="E133" s="14" t="n">
        <v>45363</v>
      </c>
      <c r="F133" s="15" t="n">
        <f aca="false">ROUND((IF(K133="",DATE(2026,9,30),K133)-E133)/365.25,1)</f>
        <v>1.3</v>
      </c>
      <c r="G133" s="12"/>
      <c r="H133" s="16" t="n">
        <v>45658</v>
      </c>
      <c r="I133" s="12" t="s">
        <v>41</v>
      </c>
      <c r="J133" s="12" t="s">
        <v>42</v>
      </c>
      <c r="K133" s="17" t="n">
        <v>45832</v>
      </c>
      <c r="L133" s="12"/>
      <c r="M133" s="12" t="s">
        <v>70</v>
      </c>
      <c r="N133" s="12"/>
    </row>
    <row r="134" customFormat="false" ht="15" hidden="false" customHeight="false" outlineLevel="0" collapsed="false">
      <c r="A134" s="13" t="s">
        <v>184</v>
      </c>
      <c r="B134" s="12" t="s">
        <v>22</v>
      </c>
      <c r="C134" s="12" t="s">
        <v>19</v>
      </c>
      <c r="D134" s="13" t="s">
        <v>40</v>
      </c>
      <c r="E134" s="14" t="n">
        <v>45401</v>
      </c>
      <c r="F134" s="15" t="n">
        <f aca="false">ROUND((IF(K134="",DATE(2026,9,30),K134)-E134)/365.25,1)</f>
        <v>2.2</v>
      </c>
      <c r="G134" s="12"/>
      <c r="H134" s="16" t="n">
        <v>45658</v>
      </c>
      <c r="I134" s="12" t="s">
        <v>41</v>
      </c>
      <c r="J134" s="12" t="s">
        <v>55</v>
      </c>
      <c r="K134" s="17" t="n">
        <v>46192</v>
      </c>
      <c r="L134" s="12"/>
      <c r="M134" s="12" t="s">
        <v>70</v>
      </c>
      <c r="N134" s="12" t="s">
        <v>185</v>
      </c>
    </row>
    <row r="135" customFormat="false" ht="15" hidden="false" customHeight="false" outlineLevel="0" collapsed="false">
      <c r="A135" s="13" t="s">
        <v>186</v>
      </c>
      <c r="B135" s="12" t="s">
        <v>22</v>
      </c>
      <c r="C135" s="12" t="s">
        <v>20</v>
      </c>
      <c r="D135" s="13" t="s">
        <v>45</v>
      </c>
      <c r="E135" s="14" t="n">
        <v>45359</v>
      </c>
      <c r="F135" s="15" t="n">
        <f aca="false">ROUND((IF(K135="",DATE(2026,9,30),K135)-E135)/365.25,1)</f>
        <v>2.6</v>
      </c>
      <c r="G135" s="12"/>
      <c r="H135" s="16" t="n">
        <v>45658</v>
      </c>
      <c r="I135" s="12" t="s">
        <v>41</v>
      </c>
      <c r="J135" s="12" t="s">
        <v>47</v>
      </c>
      <c r="K135" s="12"/>
      <c r="L135" s="12"/>
      <c r="M135" s="12" t="s">
        <v>70</v>
      </c>
      <c r="N135" s="12"/>
    </row>
    <row r="136" customFormat="false" ht="15" hidden="false" customHeight="false" outlineLevel="0" collapsed="false">
      <c r="A136" s="13" t="s">
        <v>187</v>
      </c>
      <c r="B136" s="12" t="s">
        <v>22</v>
      </c>
      <c r="C136" s="12" t="s">
        <v>20</v>
      </c>
      <c r="D136" s="13" t="s">
        <v>40</v>
      </c>
      <c r="E136" s="14" t="n">
        <v>45626</v>
      </c>
      <c r="F136" s="15" t="n">
        <f aca="false">ROUND((IF(K136="",DATE(2026,9,30),K136)-E136)/365.25,1)</f>
        <v>1.8</v>
      </c>
      <c r="G136" s="12"/>
      <c r="H136" s="16" t="n">
        <v>45658</v>
      </c>
      <c r="I136" s="12" t="s">
        <v>41</v>
      </c>
      <c r="J136" s="12" t="s">
        <v>47</v>
      </c>
      <c r="K136" s="12"/>
      <c r="L136" s="12"/>
      <c r="M136" s="12" t="s">
        <v>70</v>
      </c>
      <c r="N136" s="12"/>
    </row>
    <row r="137" customFormat="false" ht="15" hidden="false" customHeight="false" outlineLevel="0" collapsed="false">
      <c r="A137" s="13" t="s">
        <v>188</v>
      </c>
      <c r="B137" s="12" t="s">
        <v>22</v>
      </c>
      <c r="C137" s="12" t="s">
        <v>20</v>
      </c>
      <c r="D137" s="13" t="s">
        <v>45</v>
      </c>
      <c r="E137" s="14" t="n">
        <v>45396</v>
      </c>
      <c r="F137" s="15" t="n">
        <f aca="false">ROUND((IF(K137="",DATE(2026,9,30),K137)-E137)/365.25,1)</f>
        <v>2.5</v>
      </c>
      <c r="G137" s="12"/>
      <c r="H137" s="16" t="n">
        <v>45658</v>
      </c>
      <c r="I137" s="12" t="s">
        <v>41</v>
      </c>
      <c r="J137" s="12" t="s">
        <v>47</v>
      </c>
      <c r="K137" s="12"/>
      <c r="L137" s="12"/>
      <c r="M137" s="12" t="s">
        <v>70</v>
      </c>
      <c r="N137" s="12"/>
    </row>
    <row r="138" customFormat="false" ht="15" hidden="false" customHeight="false" outlineLevel="0" collapsed="false">
      <c r="A138" s="13" t="s">
        <v>189</v>
      </c>
      <c r="B138" s="12" t="s">
        <v>22</v>
      </c>
      <c r="C138" s="12" t="s">
        <v>20</v>
      </c>
      <c r="D138" s="13" t="s">
        <v>53</v>
      </c>
      <c r="E138" s="14" t="n">
        <v>45459</v>
      </c>
      <c r="F138" s="15" t="n">
        <f aca="false">ROUND((IF(K138="",DATE(2026,9,30),K138)-E138)/365.25,1)</f>
        <v>2.3</v>
      </c>
      <c r="G138" s="12"/>
      <c r="H138" s="16" t="n">
        <v>45658</v>
      </c>
      <c r="I138" s="12" t="s">
        <v>41</v>
      </c>
      <c r="J138" s="12" t="s">
        <v>47</v>
      </c>
      <c r="K138" s="12"/>
      <c r="L138" s="12"/>
      <c r="M138" s="12" t="s">
        <v>70</v>
      </c>
      <c r="N138" s="12"/>
    </row>
    <row r="139" customFormat="false" ht="15" hidden="false" customHeight="false" outlineLevel="0" collapsed="false">
      <c r="A139" s="13" t="s">
        <v>190</v>
      </c>
      <c r="B139" s="12" t="s">
        <v>22</v>
      </c>
      <c r="C139" s="12" t="s">
        <v>19</v>
      </c>
      <c r="D139" s="13" t="s">
        <v>53</v>
      </c>
      <c r="E139" s="16" t="n">
        <v>45659</v>
      </c>
      <c r="F139" s="15" t="n">
        <f aca="false">ROUND((IF(K139="",DATE(2026,9,30),K139)-E139)/365.25,1)</f>
        <v>0.7</v>
      </c>
      <c r="G139" s="12"/>
      <c r="H139" s="16" t="n">
        <v>45659</v>
      </c>
      <c r="I139" s="12" t="s">
        <v>49</v>
      </c>
      <c r="J139" s="12" t="s">
        <v>42</v>
      </c>
      <c r="K139" s="17" t="n">
        <v>45904</v>
      </c>
      <c r="L139" s="13" t="s">
        <v>124</v>
      </c>
      <c r="M139" s="12" t="s">
        <v>70</v>
      </c>
      <c r="N139" s="12"/>
    </row>
    <row r="140" customFormat="false" ht="15" hidden="false" customHeight="false" outlineLevel="0" collapsed="false">
      <c r="A140" s="13" t="s">
        <v>191</v>
      </c>
      <c r="B140" s="12" t="s">
        <v>22</v>
      </c>
      <c r="C140" s="12" t="s">
        <v>20</v>
      </c>
      <c r="D140" s="13" t="s">
        <v>53</v>
      </c>
      <c r="E140" s="16" t="n">
        <v>45661</v>
      </c>
      <c r="F140" s="15" t="n">
        <f aca="false">ROUND((IF(K140="",DATE(2026,9,30),K140)-E140)/365.25,1)</f>
        <v>1.7</v>
      </c>
      <c r="G140" s="12"/>
      <c r="H140" s="16" t="n">
        <v>45661</v>
      </c>
      <c r="I140" s="12" t="s">
        <v>49</v>
      </c>
      <c r="J140" s="12" t="s">
        <v>47</v>
      </c>
      <c r="K140" s="12"/>
      <c r="L140" s="13" t="s">
        <v>114</v>
      </c>
      <c r="M140" s="12" t="s">
        <v>70</v>
      </c>
      <c r="N140" s="12"/>
    </row>
    <row r="141" customFormat="false" ht="15" hidden="false" customHeight="false" outlineLevel="0" collapsed="false">
      <c r="A141" s="13" t="s">
        <v>192</v>
      </c>
      <c r="B141" s="12" t="s">
        <v>22</v>
      </c>
      <c r="C141" s="12" t="s">
        <v>19</v>
      </c>
      <c r="D141" s="13" t="s">
        <v>53</v>
      </c>
      <c r="E141" s="16" t="n">
        <v>45663</v>
      </c>
      <c r="F141" s="15" t="n">
        <f aca="false">ROUND((IF(K141="",DATE(2026,9,30),K141)-E141)/365.25,1)</f>
        <v>1.7</v>
      </c>
      <c r="G141" s="12"/>
      <c r="H141" s="16" t="n">
        <v>45663</v>
      </c>
      <c r="I141" s="12" t="s">
        <v>49</v>
      </c>
      <c r="J141" s="12" t="s">
        <v>47</v>
      </c>
      <c r="K141" s="12"/>
      <c r="L141" s="13" t="s">
        <v>116</v>
      </c>
      <c r="M141" s="12" t="s">
        <v>70</v>
      </c>
      <c r="N141" s="12"/>
    </row>
    <row r="142" customFormat="false" ht="15" hidden="false" customHeight="false" outlineLevel="0" collapsed="false">
      <c r="A142" s="13" t="s">
        <v>193</v>
      </c>
      <c r="B142" s="12" t="s">
        <v>22</v>
      </c>
      <c r="C142" s="12" t="s">
        <v>19</v>
      </c>
      <c r="D142" s="13" t="s">
        <v>40</v>
      </c>
      <c r="E142" s="16" t="n">
        <v>45667</v>
      </c>
      <c r="F142" s="15" t="n">
        <f aca="false">ROUND((IF(K142="",DATE(2026,9,30),K142)-E142)/365.25,1)</f>
        <v>1.7</v>
      </c>
      <c r="G142" s="12"/>
      <c r="H142" s="16" t="n">
        <v>45667</v>
      </c>
      <c r="I142" s="12" t="s">
        <v>49</v>
      </c>
      <c r="J142" s="12" t="s">
        <v>47</v>
      </c>
      <c r="K142" s="12"/>
      <c r="L142" s="13" t="s">
        <v>143</v>
      </c>
      <c r="M142" s="12" t="s">
        <v>70</v>
      </c>
      <c r="N142" s="12"/>
    </row>
    <row r="143" customFormat="false" ht="15" hidden="false" customHeight="false" outlineLevel="0" collapsed="false">
      <c r="A143" s="13" t="s">
        <v>194</v>
      </c>
      <c r="B143" s="12" t="s">
        <v>22</v>
      </c>
      <c r="C143" s="12" t="s">
        <v>19</v>
      </c>
      <c r="D143" s="13" t="s">
        <v>53</v>
      </c>
      <c r="E143" s="16" t="n">
        <v>45672</v>
      </c>
      <c r="F143" s="15" t="n">
        <f aca="false">ROUND((IF(K143="",DATE(2026,9,30),K143)-E143)/365.25,1)</f>
        <v>1.7</v>
      </c>
      <c r="G143" s="12"/>
      <c r="H143" s="16" t="n">
        <v>45672</v>
      </c>
      <c r="I143" s="12" t="s">
        <v>49</v>
      </c>
      <c r="J143" s="12" t="s">
        <v>47</v>
      </c>
      <c r="K143" s="12"/>
      <c r="L143" s="13" t="s">
        <v>117</v>
      </c>
      <c r="M143" s="12" t="s">
        <v>70</v>
      </c>
      <c r="N143" s="12"/>
    </row>
    <row r="144" customFormat="false" ht="15" hidden="false" customHeight="false" outlineLevel="0" collapsed="false">
      <c r="A144" s="13" t="s">
        <v>195</v>
      </c>
      <c r="B144" s="12" t="s">
        <v>22</v>
      </c>
      <c r="C144" s="12" t="s">
        <v>20</v>
      </c>
      <c r="D144" s="13" t="s">
        <v>53</v>
      </c>
      <c r="E144" s="16" t="n">
        <v>45679</v>
      </c>
      <c r="F144" s="15" t="n">
        <f aca="false">ROUND((IF(K144="",DATE(2026,9,30),K144)-E144)/365.25,1)</f>
        <v>0.6</v>
      </c>
      <c r="G144" s="12"/>
      <c r="H144" s="16" t="n">
        <v>45679</v>
      </c>
      <c r="I144" s="12" t="s">
        <v>49</v>
      </c>
      <c r="J144" s="12" t="s">
        <v>42</v>
      </c>
      <c r="K144" s="17" t="n">
        <v>45887</v>
      </c>
      <c r="L144" s="13" t="s">
        <v>121</v>
      </c>
      <c r="M144" s="12" t="s">
        <v>70</v>
      </c>
      <c r="N144" s="12"/>
    </row>
    <row r="145" customFormat="false" ht="15" hidden="false" customHeight="false" outlineLevel="0" collapsed="false">
      <c r="A145" s="13" t="s">
        <v>196</v>
      </c>
      <c r="B145" s="12" t="s">
        <v>22</v>
      </c>
      <c r="C145" s="12" t="s">
        <v>19</v>
      </c>
      <c r="D145" s="13" t="s">
        <v>53</v>
      </c>
      <c r="E145" s="16" t="n">
        <v>45761</v>
      </c>
      <c r="F145" s="15" t="n">
        <f aca="false">ROUND((IF(K145="",DATE(2026,9,30),K145)-E145)/365.25,1)</f>
        <v>1.5</v>
      </c>
      <c r="G145" s="12"/>
      <c r="H145" s="16" t="n">
        <v>45761</v>
      </c>
      <c r="I145" s="12" t="s">
        <v>49</v>
      </c>
      <c r="J145" s="12" t="s">
        <v>47</v>
      </c>
      <c r="K145" s="12"/>
      <c r="L145" s="13" t="s">
        <v>134</v>
      </c>
      <c r="M145" s="12" t="s">
        <v>70</v>
      </c>
      <c r="N145" s="12" t="s">
        <v>197</v>
      </c>
    </row>
    <row r="146" customFormat="false" ht="15" hidden="false" customHeight="false" outlineLevel="0" collapsed="false">
      <c r="A146" s="13" t="s">
        <v>198</v>
      </c>
      <c r="B146" s="12" t="s">
        <v>22</v>
      </c>
      <c r="C146" s="12" t="s">
        <v>19</v>
      </c>
      <c r="D146" s="13" t="s">
        <v>40</v>
      </c>
      <c r="E146" s="16" t="n">
        <v>45772</v>
      </c>
      <c r="F146" s="15" t="n">
        <f aca="false">ROUND((IF(K146="",DATE(2026,9,30),K146)-E146)/365.25,1)</f>
        <v>1.4</v>
      </c>
      <c r="G146" s="12"/>
      <c r="H146" s="16" t="n">
        <v>45772</v>
      </c>
      <c r="I146" s="12" t="s">
        <v>49</v>
      </c>
      <c r="J146" s="12" t="s">
        <v>47</v>
      </c>
      <c r="K146" s="12"/>
      <c r="L146" s="13" t="s">
        <v>63</v>
      </c>
      <c r="M146" s="12" t="s">
        <v>70</v>
      </c>
      <c r="N146" s="12"/>
    </row>
    <row r="147" customFormat="false" ht="15" hidden="false" customHeight="false" outlineLevel="0" collapsed="false">
      <c r="A147" s="13" t="s">
        <v>199</v>
      </c>
      <c r="B147" s="12" t="s">
        <v>22</v>
      </c>
      <c r="C147" s="12" t="s">
        <v>19</v>
      </c>
      <c r="D147" s="13" t="s">
        <v>53</v>
      </c>
      <c r="E147" s="16" t="n">
        <v>45807</v>
      </c>
      <c r="F147" s="15" t="n">
        <f aca="false">ROUND((IF(K147="",DATE(2026,9,30),K147)-E147)/365.25,1)</f>
        <v>0.4</v>
      </c>
      <c r="G147" s="12"/>
      <c r="H147" s="16" t="n">
        <v>45807</v>
      </c>
      <c r="I147" s="12" t="s">
        <v>49</v>
      </c>
      <c r="J147" s="12" t="s">
        <v>42</v>
      </c>
      <c r="K147" s="17" t="n">
        <v>45967</v>
      </c>
      <c r="L147" s="13" t="s">
        <v>146</v>
      </c>
      <c r="M147" s="12" t="s">
        <v>70</v>
      </c>
      <c r="N147" s="12" t="s">
        <v>185</v>
      </c>
    </row>
    <row r="148" customFormat="false" ht="15" hidden="false" customHeight="false" outlineLevel="0" collapsed="false">
      <c r="A148" s="13" t="s">
        <v>200</v>
      </c>
      <c r="B148" s="12" t="s">
        <v>22</v>
      </c>
      <c r="C148" s="12" t="s">
        <v>19</v>
      </c>
      <c r="D148" s="13" t="s">
        <v>45</v>
      </c>
      <c r="E148" s="14" t="n">
        <v>42677</v>
      </c>
      <c r="F148" s="15" t="n">
        <f aca="false">ROUND((IF(K148="",DATE(2026,9,30),K148)-E148)/365.25,1)</f>
        <v>8.7</v>
      </c>
      <c r="G148" s="12"/>
      <c r="H148" s="14" t="n">
        <v>45808</v>
      </c>
      <c r="I148" s="12" t="s">
        <v>201</v>
      </c>
      <c r="J148" s="12" t="s">
        <v>55</v>
      </c>
      <c r="K148" s="17" t="n">
        <v>45838</v>
      </c>
      <c r="L148" s="12"/>
      <c r="M148" s="12" t="s">
        <v>70</v>
      </c>
      <c r="N148" s="12"/>
    </row>
    <row r="149" customFormat="false" ht="15" hidden="false" customHeight="false" outlineLevel="0" collapsed="false">
      <c r="A149" s="13" t="s">
        <v>202</v>
      </c>
      <c r="B149" s="12" t="s">
        <v>22</v>
      </c>
      <c r="C149" s="12" t="s">
        <v>20</v>
      </c>
      <c r="D149" s="13" t="s">
        <v>40</v>
      </c>
      <c r="E149" s="16" t="n">
        <v>45820</v>
      </c>
      <c r="F149" s="15" t="n">
        <f aca="false">ROUND((IF(K149="",DATE(2026,9,30),K149)-E149)/365.25,1)</f>
        <v>0.6</v>
      </c>
      <c r="G149" s="12"/>
      <c r="H149" s="16" t="n">
        <v>45820</v>
      </c>
      <c r="I149" s="12" t="s">
        <v>49</v>
      </c>
      <c r="J149" s="12" t="s">
        <v>42</v>
      </c>
      <c r="K149" s="17" t="n">
        <v>46037</v>
      </c>
      <c r="L149" s="13" t="s">
        <v>109</v>
      </c>
      <c r="M149" s="12" t="s">
        <v>70</v>
      </c>
      <c r="N149" s="12"/>
    </row>
    <row r="150" customFormat="false" ht="15" hidden="false" customHeight="false" outlineLevel="0" collapsed="false">
      <c r="A150" s="13" t="s">
        <v>203</v>
      </c>
      <c r="B150" s="12" t="s">
        <v>22</v>
      </c>
      <c r="C150" s="12" t="s">
        <v>19</v>
      </c>
      <c r="D150" s="13" t="s">
        <v>40</v>
      </c>
      <c r="E150" s="16" t="n">
        <v>45821</v>
      </c>
      <c r="F150" s="15" t="n">
        <f aca="false">ROUND((IF(K150="",DATE(2026,9,30),K150)-E150)/365.25,1)</f>
        <v>1.3</v>
      </c>
      <c r="G150" s="12"/>
      <c r="H150" s="16" t="n">
        <v>45821</v>
      </c>
      <c r="I150" s="12" t="s">
        <v>49</v>
      </c>
      <c r="J150" s="12" t="s">
        <v>47</v>
      </c>
      <c r="K150" s="12"/>
      <c r="L150" s="13" t="s">
        <v>56</v>
      </c>
      <c r="M150" s="12" t="s">
        <v>70</v>
      </c>
      <c r="N150" s="12"/>
    </row>
    <row r="151" customFormat="false" ht="15" hidden="false" customHeight="false" outlineLevel="0" collapsed="false">
      <c r="A151" s="13" t="s">
        <v>204</v>
      </c>
      <c r="B151" s="12" t="s">
        <v>22</v>
      </c>
      <c r="C151" s="12" t="s">
        <v>20</v>
      </c>
      <c r="D151" s="13" t="s">
        <v>45</v>
      </c>
      <c r="E151" s="16" t="n">
        <v>45835</v>
      </c>
      <c r="F151" s="15" t="n">
        <f aca="false">ROUND((IF(K151="",DATE(2026,9,30),K151)-E151)/365.25,1)</f>
        <v>0.3</v>
      </c>
      <c r="G151" s="12"/>
      <c r="H151" s="16" t="n">
        <v>45835</v>
      </c>
      <c r="I151" s="12" t="s">
        <v>49</v>
      </c>
      <c r="J151" s="12" t="s">
        <v>42</v>
      </c>
      <c r="K151" s="17" t="n">
        <v>45961</v>
      </c>
      <c r="L151" s="13" t="s">
        <v>111</v>
      </c>
      <c r="M151" s="12" t="s">
        <v>70</v>
      </c>
      <c r="N151" s="12"/>
    </row>
    <row r="152" customFormat="false" ht="15" hidden="false" customHeight="false" outlineLevel="0" collapsed="false">
      <c r="A152" s="13" t="s">
        <v>205</v>
      </c>
      <c r="B152" s="12" t="s">
        <v>22</v>
      </c>
      <c r="C152" s="12" t="s">
        <v>19</v>
      </c>
      <c r="D152" s="13" t="s">
        <v>45</v>
      </c>
      <c r="E152" s="16" t="n">
        <v>45856</v>
      </c>
      <c r="F152" s="15" t="n">
        <f aca="false">ROUND((IF(K152="",DATE(2026,9,30),K152)-E152)/365.25,1)</f>
        <v>0.2</v>
      </c>
      <c r="G152" s="12"/>
      <c r="H152" s="16" t="n">
        <v>45856</v>
      </c>
      <c r="I152" s="12" t="s">
        <v>49</v>
      </c>
      <c r="J152" s="12" t="s">
        <v>42</v>
      </c>
      <c r="K152" s="17" t="n">
        <v>45913</v>
      </c>
      <c r="L152" s="13" t="s">
        <v>139</v>
      </c>
      <c r="M152" s="12" t="s">
        <v>70</v>
      </c>
      <c r="N152" s="12"/>
    </row>
    <row r="153" customFormat="false" ht="15" hidden="false" customHeight="false" outlineLevel="0" collapsed="false">
      <c r="A153" s="13" t="s">
        <v>206</v>
      </c>
      <c r="B153" s="12" t="s">
        <v>22</v>
      </c>
      <c r="C153" s="12" t="s">
        <v>20</v>
      </c>
      <c r="D153" s="13" t="s">
        <v>53</v>
      </c>
      <c r="E153" s="16" t="n">
        <v>45912</v>
      </c>
      <c r="F153" s="15" t="n">
        <f aca="false">ROUND((IF(K153="",DATE(2026,9,30),K153)-E153)/365.25,1)</f>
        <v>1</v>
      </c>
      <c r="G153" s="12"/>
      <c r="H153" s="16" t="n">
        <v>45912</v>
      </c>
      <c r="I153" s="12" t="s">
        <v>49</v>
      </c>
      <c r="J153" s="12" t="s">
        <v>47</v>
      </c>
      <c r="K153" s="12"/>
      <c r="L153" s="13" t="s">
        <v>127</v>
      </c>
      <c r="M153" s="12" t="s">
        <v>70</v>
      </c>
      <c r="N153" s="12"/>
    </row>
    <row r="154" customFormat="false" ht="15" hidden="false" customHeight="false" outlineLevel="0" collapsed="false">
      <c r="A154" s="13" t="s">
        <v>207</v>
      </c>
      <c r="B154" s="12" t="s">
        <v>22</v>
      </c>
      <c r="C154" s="12" t="s">
        <v>19</v>
      </c>
      <c r="D154" s="13" t="s">
        <v>53</v>
      </c>
      <c r="E154" s="16" t="n">
        <v>45915</v>
      </c>
      <c r="F154" s="15" t="n">
        <f aca="false">ROUND((IF(K154="",DATE(2026,9,30),K154)-E154)/365.25,1)</f>
        <v>1</v>
      </c>
      <c r="G154" s="12"/>
      <c r="H154" s="16" t="n">
        <v>45915</v>
      </c>
      <c r="I154" s="12" t="s">
        <v>49</v>
      </c>
      <c r="J154" s="12" t="s">
        <v>47</v>
      </c>
      <c r="K154" s="12"/>
      <c r="L154" s="13" t="s">
        <v>151</v>
      </c>
      <c r="M154" s="12" t="s">
        <v>70</v>
      </c>
      <c r="N154" s="12"/>
    </row>
    <row r="155" customFormat="false" ht="15" hidden="false" customHeight="false" outlineLevel="0" collapsed="false">
      <c r="A155" s="13" t="s">
        <v>208</v>
      </c>
      <c r="B155" s="12" t="s">
        <v>22</v>
      </c>
      <c r="C155" s="12" t="s">
        <v>19</v>
      </c>
      <c r="D155" s="13" t="s">
        <v>53</v>
      </c>
      <c r="E155" s="16" t="n">
        <v>45939</v>
      </c>
      <c r="F155" s="15" t="n">
        <f aca="false">ROUND((IF(K155="",DATE(2026,9,30),K155)-E155)/365.25,1)</f>
        <v>1</v>
      </c>
      <c r="G155" s="12"/>
      <c r="H155" s="16" t="n">
        <v>45939</v>
      </c>
      <c r="I155" s="12" t="s">
        <v>49</v>
      </c>
      <c r="J155" s="12" t="s">
        <v>47</v>
      </c>
      <c r="K155" s="12"/>
      <c r="L155" s="13" t="s">
        <v>123</v>
      </c>
      <c r="M155" s="12" t="s">
        <v>70</v>
      </c>
      <c r="N155" s="12"/>
    </row>
    <row r="156" customFormat="false" ht="15" hidden="false" customHeight="false" outlineLevel="0" collapsed="false">
      <c r="A156" s="13" t="s">
        <v>209</v>
      </c>
      <c r="B156" s="12" t="s">
        <v>22</v>
      </c>
      <c r="C156" s="12" t="s">
        <v>19</v>
      </c>
      <c r="D156" s="13" t="s">
        <v>45</v>
      </c>
      <c r="E156" s="16" t="n">
        <v>45955</v>
      </c>
      <c r="F156" s="15" t="n">
        <f aca="false">ROUND((IF(K156="",DATE(2026,9,30),K156)-E156)/365.25,1)</f>
        <v>0.9</v>
      </c>
      <c r="G156" s="12"/>
      <c r="H156" s="16" t="n">
        <v>45955</v>
      </c>
      <c r="I156" s="12" t="s">
        <v>49</v>
      </c>
      <c r="J156" s="12" t="s">
        <v>47</v>
      </c>
      <c r="K156" s="12"/>
      <c r="L156" s="13" t="s">
        <v>141</v>
      </c>
      <c r="M156" s="12" t="s">
        <v>70</v>
      </c>
      <c r="N156" s="12"/>
    </row>
    <row r="157" customFormat="false" ht="15" hidden="false" customHeight="false" outlineLevel="0" collapsed="false">
      <c r="A157" s="13" t="s">
        <v>210</v>
      </c>
      <c r="B157" s="12" t="s">
        <v>22</v>
      </c>
      <c r="C157" s="12" t="s">
        <v>20</v>
      </c>
      <c r="D157" s="13" t="s">
        <v>45</v>
      </c>
      <c r="E157" s="16" t="n">
        <v>45966</v>
      </c>
      <c r="F157" s="15" t="n">
        <f aca="false">ROUND((IF(K157="",DATE(2026,9,30),K157)-E157)/365.25,1)</f>
        <v>0.9</v>
      </c>
      <c r="G157" s="12"/>
      <c r="H157" s="16" t="n">
        <v>45966</v>
      </c>
      <c r="I157" s="12" t="s">
        <v>49</v>
      </c>
      <c r="J157" s="12" t="s">
        <v>47</v>
      </c>
      <c r="K157" s="12"/>
      <c r="L157" s="13" t="s">
        <v>104</v>
      </c>
      <c r="M157" s="12" t="s">
        <v>70</v>
      </c>
      <c r="N157" s="12"/>
    </row>
    <row r="158" customFormat="false" ht="15" hidden="false" customHeight="false" outlineLevel="0" collapsed="false">
      <c r="A158" s="13" t="s">
        <v>211</v>
      </c>
      <c r="B158" s="12" t="s">
        <v>22</v>
      </c>
      <c r="C158" s="12" t="s">
        <v>19</v>
      </c>
      <c r="D158" s="13" t="s">
        <v>45</v>
      </c>
      <c r="E158" s="16" t="n">
        <v>45968</v>
      </c>
      <c r="F158" s="15" t="n">
        <f aca="false">ROUND((IF(K158="",DATE(2026,9,30),K158)-E158)/365.25,1)</f>
        <v>0.9</v>
      </c>
      <c r="G158" s="12"/>
      <c r="H158" s="16" t="n">
        <v>45968</v>
      </c>
      <c r="I158" s="12" t="s">
        <v>49</v>
      </c>
      <c r="J158" s="12" t="s">
        <v>47</v>
      </c>
      <c r="K158" s="12"/>
      <c r="L158" s="13" t="s">
        <v>112</v>
      </c>
      <c r="M158" s="12" t="s">
        <v>70</v>
      </c>
      <c r="N158" s="12"/>
    </row>
    <row r="159" customFormat="false" ht="15" hidden="false" customHeight="false" outlineLevel="0" collapsed="false">
      <c r="A159" s="13" t="s">
        <v>212</v>
      </c>
      <c r="B159" s="12" t="s">
        <v>22</v>
      </c>
      <c r="C159" s="12" t="s">
        <v>20</v>
      </c>
      <c r="D159" s="13" t="s">
        <v>45</v>
      </c>
      <c r="E159" s="16" t="n">
        <v>45969</v>
      </c>
      <c r="F159" s="15" t="n">
        <f aca="false">ROUND((IF(K159="",DATE(2026,9,30),K159)-E159)/365.25,1)</f>
        <v>0.9</v>
      </c>
      <c r="G159" s="12"/>
      <c r="H159" s="16" t="n">
        <v>45969</v>
      </c>
      <c r="I159" s="12" t="s">
        <v>49</v>
      </c>
      <c r="J159" s="12" t="s">
        <v>47</v>
      </c>
      <c r="K159" s="12"/>
      <c r="L159" s="13" t="s">
        <v>57</v>
      </c>
      <c r="M159" s="12" t="s">
        <v>70</v>
      </c>
      <c r="N159" s="12"/>
    </row>
    <row r="160" customFormat="false" ht="15" hidden="false" customHeight="false" outlineLevel="0" collapsed="false">
      <c r="A160" s="13" t="s">
        <v>213</v>
      </c>
      <c r="B160" s="12" t="s">
        <v>22</v>
      </c>
      <c r="C160" s="12" t="s">
        <v>20</v>
      </c>
      <c r="D160" s="13" t="s">
        <v>40</v>
      </c>
      <c r="E160" s="16" t="n">
        <v>45975</v>
      </c>
      <c r="F160" s="15" t="n">
        <f aca="false">ROUND((IF(K160="",DATE(2026,9,30),K160)-E160)/365.25,1)</f>
        <v>0.9</v>
      </c>
      <c r="G160" s="12"/>
      <c r="H160" s="16" t="n">
        <v>45975</v>
      </c>
      <c r="I160" s="12" t="s">
        <v>49</v>
      </c>
      <c r="J160" s="12" t="s">
        <v>47</v>
      </c>
      <c r="K160" s="12"/>
      <c r="L160" s="13" t="s">
        <v>147</v>
      </c>
      <c r="M160" s="12" t="s">
        <v>70</v>
      </c>
      <c r="N160" s="12"/>
    </row>
    <row r="161" customFormat="false" ht="15" hidden="false" customHeight="false" outlineLevel="0" collapsed="false">
      <c r="A161" s="13" t="s">
        <v>214</v>
      </c>
      <c r="B161" s="12" t="s">
        <v>22</v>
      </c>
      <c r="C161" s="12" t="s">
        <v>19</v>
      </c>
      <c r="D161" s="13" t="s">
        <v>53</v>
      </c>
      <c r="E161" s="16" t="n">
        <v>45992</v>
      </c>
      <c r="F161" s="15" t="n">
        <f aca="false">ROUND((IF(K161="",DATE(2026,9,30),K161)-E161)/365.25,1)</f>
        <v>0.8</v>
      </c>
      <c r="G161" s="12"/>
      <c r="H161" s="16" t="n">
        <v>45992</v>
      </c>
      <c r="I161" s="12" t="s">
        <v>49</v>
      </c>
      <c r="J161" s="12" t="s">
        <v>47</v>
      </c>
      <c r="K161" s="12"/>
      <c r="L161" s="13" t="s">
        <v>142</v>
      </c>
      <c r="M161" s="12" t="s">
        <v>70</v>
      </c>
      <c r="N161" s="12"/>
    </row>
    <row r="162" customFormat="false" ht="15" hidden="false" customHeight="false" outlineLevel="0" collapsed="false">
      <c r="A162" s="13" t="s">
        <v>215</v>
      </c>
      <c r="B162" s="12" t="s">
        <v>22</v>
      </c>
      <c r="C162" s="12" t="s">
        <v>19</v>
      </c>
      <c r="D162" s="13" t="s">
        <v>45</v>
      </c>
      <c r="E162" s="16" t="n">
        <v>46000</v>
      </c>
      <c r="F162" s="15" t="n">
        <f aca="false">ROUND((IF(K162="",DATE(2026,9,30),K162)-E162)/365.25,1)</f>
        <v>0.8</v>
      </c>
      <c r="G162" s="12"/>
      <c r="H162" s="16" t="n">
        <v>46000</v>
      </c>
      <c r="I162" s="12" t="s">
        <v>49</v>
      </c>
      <c r="J162" s="12" t="s">
        <v>47</v>
      </c>
      <c r="K162" s="12"/>
      <c r="L162" s="13" t="s">
        <v>119</v>
      </c>
      <c r="M162" s="12" t="s">
        <v>70</v>
      </c>
      <c r="N162" s="12"/>
    </row>
    <row r="163" customFormat="false" ht="15" hidden="false" customHeight="false" outlineLevel="0" collapsed="false">
      <c r="A163" s="13" t="s">
        <v>216</v>
      </c>
      <c r="B163" s="12" t="s">
        <v>22</v>
      </c>
      <c r="C163" s="12" t="s">
        <v>19</v>
      </c>
      <c r="D163" s="13" t="s">
        <v>53</v>
      </c>
      <c r="E163" s="16" t="n">
        <v>46008</v>
      </c>
      <c r="F163" s="15" t="n">
        <f aca="false">ROUND((IF(K163="",DATE(2026,9,30),K163)-E163)/365.25,1)</f>
        <v>0.8</v>
      </c>
      <c r="G163" s="12"/>
      <c r="H163" s="16" t="n">
        <v>46008</v>
      </c>
      <c r="I163" s="12" t="s">
        <v>49</v>
      </c>
      <c r="J163" s="12" t="s">
        <v>47</v>
      </c>
      <c r="K163" s="12"/>
      <c r="L163" s="13" t="s">
        <v>149</v>
      </c>
      <c r="M163" s="12" t="s">
        <v>70</v>
      </c>
      <c r="N163" s="12"/>
    </row>
    <row r="164" customFormat="false" ht="15" hidden="false" customHeight="false" outlineLevel="0" collapsed="false">
      <c r="A164" s="13" t="s">
        <v>217</v>
      </c>
      <c r="B164" s="12" t="s">
        <v>22</v>
      </c>
      <c r="C164" s="12" t="s">
        <v>19</v>
      </c>
      <c r="D164" s="13" t="s">
        <v>45</v>
      </c>
      <c r="E164" s="16" t="n">
        <v>46033</v>
      </c>
      <c r="F164" s="15" t="n">
        <f aca="false">ROUND((IF(K164="",DATE(2026,9,30),K164)-E164)/365.25,1)</f>
        <v>0.7</v>
      </c>
      <c r="G164" s="12"/>
      <c r="H164" s="16" t="n">
        <v>46033</v>
      </c>
      <c r="I164" s="12" t="s">
        <v>49</v>
      </c>
      <c r="J164" s="12" t="s">
        <v>47</v>
      </c>
      <c r="K164" s="12"/>
      <c r="L164" s="13" t="s">
        <v>148</v>
      </c>
      <c r="M164" s="12" t="s">
        <v>70</v>
      </c>
      <c r="N164" s="12"/>
    </row>
    <row r="165" customFormat="false" ht="15" hidden="false" customHeight="false" outlineLevel="0" collapsed="false">
      <c r="A165" s="13" t="s">
        <v>218</v>
      </c>
      <c r="B165" s="12" t="s">
        <v>22</v>
      </c>
      <c r="C165" s="12" t="s">
        <v>19</v>
      </c>
      <c r="D165" s="13" t="s">
        <v>53</v>
      </c>
      <c r="E165" s="16" t="n">
        <v>46039</v>
      </c>
      <c r="F165" s="15" t="n">
        <f aca="false">ROUND((IF(K165="",DATE(2026,9,30),K165)-E165)/365.25,1)</f>
        <v>0.7</v>
      </c>
      <c r="G165" s="12"/>
      <c r="H165" s="16" t="n">
        <v>46039</v>
      </c>
      <c r="I165" s="12" t="s">
        <v>49</v>
      </c>
      <c r="J165" s="12" t="s">
        <v>47</v>
      </c>
      <c r="K165" s="12"/>
      <c r="L165" s="13" t="s">
        <v>52</v>
      </c>
      <c r="M165" s="12" t="s">
        <v>70</v>
      </c>
      <c r="N165" s="12"/>
    </row>
    <row r="166" customFormat="false" ht="15" hidden="false" customHeight="false" outlineLevel="0" collapsed="false">
      <c r="A166" s="13" t="s">
        <v>219</v>
      </c>
      <c r="B166" s="12" t="s">
        <v>22</v>
      </c>
      <c r="C166" s="12" t="s">
        <v>20</v>
      </c>
      <c r="D166" s="13" t="s">
        <v>45</v>
      </c>
      <c r="E166" s="16" t="n">
        <v>46039</v>
      </c>
      <c r="F166" s="15" t="n">
        <f aca="false">ROUND((IF(K166="",DATE(2026,9,30),K166)-E166)/365.25,1)</f>
        <v>0.5</v>
      </c>
      <c r="G166" s="12"/>
      <c r="H166" s="16" t="n">
        <v>46039</v>
      </c>
      <c r="I166" s="12" t="s">
        <v>49</v>
      </c>
      <c r="J166" s="12" t="s">
        <v>42</v>
      </c>
      <c r="K166" s="17" t="n">
        <v>46204</v>
      </c>
      <c r="L166" s="13" t="s">
        <v>125</v>
      </c>
      <c r="M166" s="12" t="s">
        <v>70</v>
      </c>
      <c r="N166" s="12"/>
    </row>
    <row r="167" customFormat="false" ht="15" hidden="false" customHeight="false" outlineLevel="0" collapsed="false">
      <c r="A167" s="13" t="s">
        <v>220</v>
      </c>
      <c r="B167" s="12" t="s">
        <v>22</v>
      </c>
      <c r="C167" s="12" t="s">
        <v>19</v>
      </c>
      <c r="D167" s="13" t="s">
        <v>53</v>
      </c>
      <c r="E167" s="16" t="n">
        <v>46049</v>
      </c>
      <c r="F167" s="15" t="n">
        <f aca="false">ROUND((IF(K167="",DATE(2026,9,30),K167)-E167)/365.25,1)</f>
        <v>0.7</v>
      </c>
      <c r="G167" s="12"/>
      <c r="H167" s="16" t="n">
        <v>46049</v>
      </c>
      <c r="I167" s="12" t="s">
        <v>49</v>
      </c>
      <c r="J167" s="12" t="s">
        <v>47</v>
      </c>
      <c r="K167" s="12"/>
      <c r="L167" s="13" t="s">
        <v>140</v>
      </c>
      <c r="M167" s="12" t="s">
        <v>70</v>
      </c>
      <c r="N167" s="12"/>
    </row>
    <row r="168" customFormat="false" ht="15" hidden="false" customHeight="false" outlineLevel="0" collapsed="false">
      <c r="A168" s="13" t="s">
        <v>221</v>
      </c>
      <c r="B168" s="12" t="s">
        <v>22</v>
      </c>
      <c r="C168" s="12" t="s">
        <v>19</v>
      </c>
      <c r="D168" s="13" t="s">
        <v>40</v>
      </c>
      <c r="E168" s="16" t="n">
        <v>46059</v>
      </c>
      <c r="F168" s="15" t="n">
        <f aca="false">ROUND((IF(K168="",DATE(2026,9,30),K168)-E168)/365.25,1)</f>
        <v>0.6</v>
      </c>
      <c r="G168" s="12"/>
      <c r="H168" s="16" t="n">
        <v>46059</v>
      </c>
      <c r="I168" s="12" t="s">
        <v>49</v>
      </c>
      <c r="J168" s="12" t="s">
        <v>47</v>
      </c>
      <c r="K168" s="12"/>
      <c r="L168" s="13" t="s">
        <v>39</v>
      </c>
      <c r="M168" s="12" t="s">
        <v>70</v>
      </c>
      <c r="N168" s="12"/>
    </row>
    <row r="169" customFormat="false" ht="15" hidden="false" customHeight="false" outlineLevel="0" collapsed="false">
      <c r="A169" s="13" t="s">
        <v>222</v>
      </c>
      <c r="B169" s="12" t="s">
        <v>22</v>
      </c>
      <c r="C169" s="12" t="s">
        <v>19</v>
      </c>
      <c r="D169" s="13" t="s">
        <v>53</v>
      </c>
      <c r="E169" s="16" t="n">
        <v>46087</v>
      </c>
      <c r="F169" s="15" t="n">
        <f aca="false">ROUND((IF(K169="",DATE(2026,9,30),K169)-E169)/365.25,1)</f>
        <v>0.6</v>
      </c>
      <c r="G169" s="12"/>
      <c r="H169" s="16" t="n">
        <v>46087</v>
      </c>
      <c r="I169" s="12" t="s">
        <v>49</v>
      </c>
      <c r="J169" s="12" t="s">
        <v>47</v>
      </c>
      <c r="K169" s="12"/>
      <c r="L169" s="13" t="s">
        <v>121</v>
      </c>
      <c r="M169" s="12" t="s">
        <v>70</v>
      </c>
      <c r="N169" s="12"/>
    </row>
    <row r="170" customFormat="false" ht="15" hidden="false" customHeight="false" outlineLevel="0" collapsed="false">
      <c r="A170" s="13" t="s">
        <v>223</v>
      </c>
      <c r="B170" s="12" t="s">
        <v>22</v>
      </c>
      <c r="C170" s="12" t="s">
        <v>20</v>
      </c>
      <c r="D170" s="13" t="s">
        <v>53</v>
      </c>
      <c r="E170" s="16" t="n">
        <v>46097</v>
      </c>
      <c r="F170" s="15" t="n">
        <f aca="false">ROUND((IF(K170="",DATE(2026,9,30),K170)-E170)/365.25,1)</f>
        <v>0.5</v>
      </c>
      <c r="G170" s="12"/>
      <c r="H170" s="16" t="n">
        <v>46097</v>
      </c>
      <c r="I170" s="12" t="s">
        <v>49</v>
      </c>
      <c r="J170" s="12" t="s">
        <v>47</v>
      </c>
      <c r="K170" s="12"/>
      <c r="L170" s="13" t="s">
        <v>115</v>
      </c>
      <c r="M170" s="12" t="s">
        <v>70</v>
      </c>
      <c r="N170" s="12"/>
    </row>
    <row r="171" customFormat="false" ht="15" hidden="false" customHeight="false" outlineLevel="0" collapsed="false">
      <c r="A171" s="13" t="s">
        <v>224</v>
      </c>
      <c r="B171" s="12" t="s">
        <v>22</v>
      </c>
      <c r="C171" s="12" t="s">
        <v>19</v>
      </c>
      <c r="D171" s="13" t="s">
        <v>53</v>
      </c>
      <c r="E171" s="14" t="n">
        <v>42931</v>
      </c>
      <c r="F171" s="15" t="n">
        <f aca="false">ROUND((IF(K171="",DATE(2026,9,30),K171)-E171)/365.25,1)</f>
        <v>9.2</v>
      </c>
      <c r="G171" s="12"/>
      <c r="H171" s="16" t="n">
        <v>46105</v>
      </c>
      <c r="I171" s="12" t="s">
        <v>225</v>
      </c>
      <c r="J171" s="12" t="s">
        <v>47</v>
      </c>
      <c r="K171" s="12"/>
      <c r="L171" s="12"/>
      <c r="M171" s="12" t="s">
        <v>70</v>
      </c>
      <c r="N171" s="12"/>
    </row>
    <row r="172" customFormat="false" ht="15" hidden="false" customHeight="false" outlineLevel="0" collapsed="false">
      <c r="A172" s="13" t="s">
        <v>226</v>
      </c>
      <c r="B172" s="12" t="s">
        <v>22</v>
      </c>
      <c r="C172" s="12" t="s">
        <v>19</v>
      </c>
      <c r="D172" s="13" t="s">
        <v>53</v>
      </c>
      <c r="E172" s="16" t="n">
        <v>46119</v>
      </c>
      <c r="F172" s="15" t="n">
        <f aca="false">ROUND((IF(K172="",DATE(2026,9,30),K172)-E172)/365.25,1)</f>
        <v>0.1</v>
      </c>
      <c r="G172" s="12"/>
      <c r="H172" s="16" t="n">
        <v>46119</v>
      </c>
      <c r="I172" s="12" t="s">
        <v>49</v>
      </c>
      <c r="J172" s="12" t="s">
        <v>42</v>
      </c>
      <c r="K172" s="17" t="n">
        <v>46160</v>
      </c>
      <c r="L172" s="13" t="s">
        <v>133</v>
      </c>
      <c r="M172" s="12" t="s">
        <v>70</v>
      </c>
      <c r="N172" s="12"/>
    </row>
    <row r="173" customFormat="false" ht="15" hidden="false" customHeight="false" outlineLevel="0" collapsed="false">
      <c r="A173" s="13" t="s">
        <v>227</v>
      </c>
      <c r="B173" s="12" t="s">
        <v>22</v>
      </c>
      <c r="C173" s="12" t="s">
        <v>19</v>
      </c>
      <c r="D173" s="13" t="s">
        <v>45</v>
      </c>
      <c r="E173" s="16" t="n">
        <v>46142</v>
      </c>
      <c r="F173" s="15" t="n">
        <f aca="false">ROUND((IF(K173="",DATE(2026,9,30),K173)-E173)/365.25,1)</f>
        <v>0.4</v>
      </c>
      <c r="G173" s="12"/>
      <c r="H173" s="16" t="n">
        <v>46142</v>
      </c>
      <c r="I173" s="12" t="s">
        <v>49</v>
      </c>
      <c r="J173" s="12" t="s">
        <v>47</v>
      </c>
      <c r="K173" s="12"/>
      <c r="L173" s="13" t="s">
        <v>144</v>
      </c>
      <c r="M173" s="12" t="s">
        <v>70</v>
      </c>
      <c r="N173" s="12"/>
    </row>
    <row r="174" customFormat="false" ht="15" hidden="false" customHeight="false" outlineLevel="0" collapsed="false">
      <c r="A174" s="13" t="s">
        <v>228</v>
      </c>
      <c r="B174" s="12" t="s">
        <v>22</v>
      </c>
      <c r="C174" s="12" t="s">
        <v>20</v>
      </c>
      <c r="D174" s="13" t="s">
        <v>45</v>
      </c>
      <c r="E174" s="16" t="n">
        <v>46160</v>
      </c>
      <c r="F174" s="15" t="n">
        <f aca="false">ROUND((IF(K174="",DATE(2026,9,30),K174)-E174)/365.25,1)</f>
        <v>0.4</v>
      </c>
      <c r="G174" s="12"/>
      <c r="H174" s="16" t="n">
        <v>46160</v>
      </c>
      <c r="I174" s="12" t="s">
        <v>49</v>
      </c>
      <c r="J174" s="12" t="s">
        <v>47</v>
      </c>
      <c r="K174" s="12"/>
      <c r="L174" s="13" t="s">
        <v>131</v>
      </c>
      <c r="M174" s="12" t="s">
        <v>70</v>
      </c>
      <c r="N174" s="12"/>
    </row>
    <row r="175" customFormat="false" ht="15" hidden="false" customHeight="false" outlineLevel="0" collapsed="false">
      <c r="A175" s="13" t="s">
        <v>229</v>
      </c>
      <c r="B175" s="12" t="s">
        <v>22</v>
      </c>
      <c r="C175" s="12" t="s">
        <v>20</v>
      </c>
      <c r="D175" s="13" t="s">
        <v>53</v>
      </c>
      <c r="E175" s="16" t="n">
        <v>46167</v>
      </c>
      <c r="F175" s="15" t="n">
        <f aca="false">ROUND((IF(K175="",DATE(2026,9,30),K175)-E175)/365.25,1)</f>
        <v>0.4</v>
      </c>
      <c r="G175" s="12"/>
      <c r="H175" s="16" t="n">
        <v>46167</v>
      </c>
      <c r="I175" s="12" t="s">
        <v>49</v>
      </c>
      <c r="J175" s="12" t="s">
        <v>47</v>
      </c>
      <c r="K175" s="12"/>
      <c r="L175" s="13" t="s">
        <v>114</v>
      </c>
      <c r="M175" s="12" t="s">
        <v>70</v>
      </c>
      <c r="N175" s="12"/>
    </row>
    <row r="176" customFormat="false" ht="15" hidden="false" customHeight="false" outlineLevel="0" collapsed="false">
      <c r="A176" s="13" t="s">
        <v>230</v>
      </c>
      <c r="B176" s="12" t="s">
        <v>22</v>
      </c>
      <c r="C176" s="12" t="s">
        <v>19</v>
      </c>
      <c r="D176" s="13" t="s">
        <v>45</v>
      </c>
      <c r="E176" s="16" t="n">
        <v>46175</v>
      </c>
      <c r="F176" s="15" t="n">
        <f aca="false">ROUND((IF(K176="",DATE(2026,9,30),K176)-E176)/365.25,1)</f>
        <v>0</v>
      </c>
      <c r="G176" s="12"/>
      <c r="H176" s="16" t="n">
        <v>46175</v>
      </c>
      <c r="I176" s="12" t="s">
        <v>49</v>
      </c>
      <c r="J176" s="12" t="s">
        <v>42</v>
      </c>
      <c r="K176" s="17" t="n">
        <v>46190</v>
      </c>
      <c r="L176" s="13" t="s">
        <v>130</v>
      </c>
      <c r="M176" s="12" t="s">
        <v>70</v>
      </c>
      <c r="N176" s="12"/>
    </row>
    <row r="177" customFormat="false" ht="15" hidden="false" customHeight="false" outlineLevel="0" collapsed="false">
      <c r="A177" s="13" t="s">
        <v>231</v>
      </c>
      <c r="B177" s="12" t="s">
        <v>22</v>
      </c>
      <c r="C177" s="12" t="s">
        <v>19</v>
      </c>
      <c r="D177" s="13" t="s">
        <v>40</v>
      </c>
      <c r="E177" s="16" t="n">
        <v>46197</v>
      </c>
      <c r="F177" s="15" t="n">
        <f aca="false">ROUND((IF(K177="",DATE(2026,9,30),K177)-E177)/365.25,1)</f>
        <v>0.3</v>
      </c>
      <c r="G177" s="12"/>
      <c r="H177" s="16" t="n">
        <v>46197</v>
      </c>
      <c r="I177" s="12" t="s">
        <v>49</v>
      </c>
      <c r="J177" s="12" t="s">
        <v>47</v>
      </c>
      <c r="K177" s="12"/>
      <c r="L177" s="13" t="s">
        <v>143</v>
      </c>
      <c r="M177" s="12" t="s">
        <v>70</v>
      </c>
      <c r="N177" s="12"/>
    </row>
    <row r="178" customFormat="false" ht="15" hidden="false" customHeight="false" outlineLevel="0" collapsed="false">
      <c r="A178" s="13" t="s">
        <v>232</v>
      </c>
      <c r="B178" s="12" t="s">
        <v>22</v>
      </c>
      <c r="C178" s="12" t="s">
        <v>20</v>
      </c>
      <c r="D178" s="13" t="s">
        <v>45</v>
      </c>
      <c r="E178" s="16" t="n">
        <v>46219</v>
      </c>
      <c r="F178" s="15" t="n">
        <f aca="false">ROUND((IF(K178="",DATE(2026,9,30),K178)-E178)/365.25,1)</f>
        <v>0.2</v>
      </c>
      <c r="G178" s="12"/>
      <c r="H178" s="16" t="n">
        <v>46219</v>
      </c>
      <c r="I178" s="12" t="s">
        <v>49</v>
      </c>
      <c r="J178" s="12" t="s">
        <v>47</v>
      </c>
      <c r="K178" s="12"/>
      <c r="L178" s="13" t="s">
        <v>186</v>
      </c>
      <c r="M178" s="12" t="s">
        <v>70</v>
      </c>
      <c r="N178" s="12"/>
    </row>
    <row r="179" customFormat="false" ht="15" hidden="false" customHeight="false" outlineLevel="0" collapsed="false">
      <c r="A179" s="13" t="s">
        <v>233</v>
      </c>
      <c r="B179" s="12" t="s">
        <v>22</v>
      </c>
      <c r="C179" s="12" t="s">
        <v>20</v>
      </c>
      <c r="D179" s="13" t="s">
        <v>40</v>
      </c>
      <c r="E179" s="16" t="n">
        <v>46243</v>
      </c>
      <c r="F179" s="15" t="n">
        <f aca="false">ROUND((IF(K179="",DATE(2026,9,30),K179)-E179)/365.25,1)</f>
        <v>0.1</v>
      </c>
      <c r="G179" s="12"/>
      <c r="H179" s="16" t="n">
        <v>46243</v>
      </c>
      <c r="I179" s="12" t="s">
        <v>49</v>
      </c>
      <c r="J179" s="12" t="s">
        <v>47</v>
      </c>
      <c r="K179" s="12"/>
      <c r="L179" s="13" t="s">
        <v>132</v>
      </c>
      <c r="M179" s="12" t="s">
        <v>70</v>
      </c>
      <c r="N179" s="12"/>
    </row>
    <row r="180" customFormat="false" ht="15" hidden="false" customHeight="false" outlineLevel="0" collapsed="false">
      <c r="A180" s="13" t="s">
        <v>234</v>
      </c>
      <c r="B180" s="12" t="s">
        <v>22</v>
      </c>
      <c r="C180" s="12" t="s">
        <v>19</v>
      </c>
      <c r="D180" s="13" t="s">
        <v>45</v>
      </c>
      <c r="E180" s="16" t="n">
        <v>46258</v>
      </c>
      <c r="F180" s="15" t="n">
        <f aca="false">ROUND((IF(K180="",DATE(2026,9,30),K180)-E180)/365.25,1)</f>
        <v>0.1</v>
      </c>
      <c r="G180" s="12"/>
      <c r="H180" s="16" t="n">
        <v>46258</v>
      </c>
      <c r="I180" s="12" t="s">
        <v>49</v>
      </c>
      <c r="J180" s="12" t="s">
        <v>47</v>
      </c>
      <c r="K180" s="12"/>
      <c r="L180" s="13" t="s">
        <v>141</v>
      </c>
      <c r="M180" s="12" t="s">
        <v>70</v>
      </c>
      <c r="N180" s="12"/>
    </row>
    <row r="181" customFormat="false" ht="15" hidden="false" customHeight="false" outlineLevel="0" collapsed="false">
      <c r="A181" s="13" t="s">
        <v>235</v>
      </c>
      <c r="B181" s="12" t="s">
        <v>22</v>
      </c>
      <c r="C181" s="12" t="s">
        <v>19</v>
      </c>
      <c r="D181" s="13" t="s">
        <v>40</v>
      </c>
      <c r="E181" s="14" t="n">
        <v>45226</v>
      </c>
      <c r="F181" s="15" t="n">
        <f aca="false">ROUND((IF(K181="",DATE(2026,9,30),K181)-E181)/365.25,1)</f>
        <v>2.9</v>
      </c>
      <c r="G181" s="12"/>
      <c r="H181" s="16" t="n">
        <v>46275</v>
      </c>
      <c r="I181" s="12" t="s">
        <v>236</v>
      </c>
      <c r="J181" s="12" t="s">
        <v>47</v>
      </c>
      <c r="K181" s="12"/>
      <c r="L181" s="12"/>
      <c r="M181" s="12" t="s">
        <v>70</v>
      </c>
      <c r="N181" s="12"/>
    </row>
    <row r="182" customFormat="false" ht="15" hidden="false" customHeight="false" outlineLevel="0" collapsed="false">
      <c r="A182" s="13" t="s">
        <v>237</v>
      </c>
      <c r="B182" s="12" t="s">
        <v>22</v>
      </c>
      <c r="C182" s="12" t="s">
        <v>19</v>
      </c>
      <c r="D182" s="13" t="s">
        <v>45</v>
      </c>
      <c r="E182" s="14" t="n">
        <v>44944</v>
      </c>
      <c r="F182" s="15" t="n">
        <f aca="false">ROUND((IF(K182="",DATE(2026,9,30),K182)-E182)/365.25,1)</f>
        <v>3.7</v>
      </c>
      <c r="G182" s="12"/>
      <c r="H182" s="16" t="n">
        <v>46275</v>
      </c>
      <c r="I182" s="12" t="s">
        <v>236</v>
      </c>
      <c r="J182" s="12" t="s">
        <v>47</v>
      </c>
      <c r="K182" s="12"/>
      <c r="L182" s="12"/>
      <c r="M182" s="12" t="s">
        <v>70</v>
      </c>
      <c r="N182" s="12"/>
    </row>
    <row r="183" customFormat="false" ht="15" hidden="false" customHeight="false" outlineLevel="0" collapsed="false">
      <c r="A183" s="13" t="s">
        <v>238</v>
      </c>
      <c r="B183" s="12" t="s">
        <v>22</v>
      </c>
      <c r="C183" s="12" t="s">
        <v>19</v>
      </c>
      <c r="D183" s="13" t="s">
        <v>53</v>
      </c>
      <c r="E183" s="16" t="n">
        <v>46277</v>
      </c>
      <c r="F183" s="15" t="n">
        <f aca="false">ROUND((IF(K183="",DATE(2026,9,30),K183)-E183)/365.25,1)</f>
        <v>0</v>
      </c>
      <c r="G183" s="12"/>
      <c r="H183" s="16" t="n">
        <v>46277</v>
      </c>
      <c r="I183" s="12" t="s">
        <v>49</v>
      </c>
      <c r="J183" s="12" t="s">
        <v>47</v>
      </c>
      <c r="K183" s="12"/>
      <c r="L183" s="13" t="s">
        <v>135</v>
      </c>
      <c r="M183" s="12" t="s">
        <v>70</v>
      </c>
      <c r="N183" s="12"/>
    </row>
    <row r="184" customFormat="false" ht="15" hidden="false" customHeight="false" outlineLevel="0" collapsed="false">
      <c r="A184" s="11" t="s">
        <v>239</v>
      </c>
      <c r="B184" s="12" t="s">
        <v>23</v>
      </c>
      <c r="C184" s="12" t="s">
        <v>19</v>
      </c>
      <c r="D184" s="13" t="s">
        <v>240</v>
      </c>
      <c r="E184" s="14" t="n">
        <v>44560</v>
      </c>
      <c r="F184" s="15" t="n">
        <f aca="false">ROUND((IF(K184="",DATE(2026,9,30),K184)-E184)/365.25,1)</f>
        <v>4.3</v>
      </c>
      <c r="G184" s="12"/>
      <c r="H184" s="16" t="n">
        <v>45808</v>
      </c>
      <c r="I184" s="12" t="s">
        <v>241</v>
      </c>
      <c r="J184" s="12" t="s">
        <v>55</v>
      </c>
      <c r="K184" s="17" t="n">
        <v>46137</v>
      </c>
      <c r="L184" s="12"/>
      <c r="M184" s="11" t="s">
        <v>43</v>
      </c>
      <c r="N184" s="12"/>
    </row>
    <row r="185" customFormat="false" ht="15" hidden="false" customHeight="false" outlineLevel="0" collapsed="false">
      <c r="A185" s="11" t="s">
        <v>242</v>
      </c>
      <c r="B185" s="12" t="s">
        <v>23</v>
      </c>
      <c r="C185" s="12" t="s">
        <v>19</v>
      </c>
      <c r="D185" s="13" t="s">
        <v>240</v>
      </c>
      <c r="E185" s="14" t="n">
        <v>44041</v>
      </c>
      <c r="F185" s="15" t="n">
        <f aca="false">ROUND((IF(K185="",DATE(2026,9,30),K185)-E185)/365.25,1)</f>
        <v>5.9</v>
      </c>
      <c r="G185" s="12"/>
      <c r="H185" s="16" t="n">
        <v>45808</v>
      </c>
      <c r="I185" s="12" t="s">
        <v>241</v>
      </c>
      <c r="J185" s="12" t="s">
        <v>55</v>
      </c>
      <c r="K185" s="17" t="n">
        <v>46214</v>
      </c>
      <c r="L185" s="12"/>
      <c r="M185" s="11" t="s">
        <v>43</v>
      </c>
      <c r="N185" s="12"/>
    </row>
    <row r="186" customFormat="false" ht="15" hidden="false" customHeight="false" outlineLevel="0" collapsed="false">
      <c r="A186" s="11" t="s">
        <v>243</v>
      </c>
      <c r="B186" s="12" t="s">
        <v>23</v>
      </c>
      <c r="C186" s="12" t="s">
        <v>19</v>
      </c>
      <c r="D186" s="13" t="s">
        <v>240</v>
      </c>
      <c r="E186" s="14" t="n">
        <v>44715</v>
      </c>
      <c r="F186" s="15" t="n">
        <f aca="false">ROUND((IF(K186="",DATE(2026,9,30),K186)-E186)/365.25,1)</f>
        <v>4.1</v>
      </c>
      <c r="G186" s="12"/>
      <c r="H186" s="16" t="n">
        <v>45808</v>
      </c>
      <c r="I186" s="12" t="s">
        <v>241</v>
      </c>
      <c r="J186" s="12" t="s">
        <v>55</v>
      </c>
      <c r="K186" s="17" t="n">
        <v>46214</v>
      </c>
      <c r="L186" s="12"/>
      <c r="M186" s="11" t="s">
        <v>43</v>
      </c>
      <c r="N186" s="12"/>
    </row>
    <row r="187" customFormat="false" ht="15" hidden="false" customHeight="false" outlineLevel="0" collapsed="false">
      <c r="A187" s="11" t="s">
        <v>244</v>
      </c>
      <c r="B187" s="12" t="s">
        <v>23</v>
      </c>
      <c r="C187" s="12" t="s">
        <v>20</v>
      </c>
      <c r="D187" s="13" t="s">
        <v>245</v>
      </c>
      <c r="E187" s="14" t="n">
        <v>44210</v>
      </c>
      <c r="F187" s="15" t="n">
        <f aca="false">ROUND((IF(K187="",DATE(2026,9,30),K187)-E187)/365.25,1)</f>
        <v>5.5</v>
      </c>
      <c r="G187" s="12"/>
      <c r="H187" s="16" t="n">
        <v>45808</v>
      </c>
      <c r="I187" s="12" t="s">
        <v>241</v>
      </c>
      <c r="J187" s="12" t="s">
        <v>42</v>
      </c>
      <c r="K187" s="17" t="n">
        <v>46237</v>
      </c>
      <c r="L187" s="12"/>
      <c r="M187" s="11" t="s">
        <v>43</v>
      </c>
      <c r="N187" s="12"/>
    </row>
    <row r="188" customFormat="false" ht="15" hidden="false" customHeight="false" outlineLevel="0" collapsed="false">
      <c r="A188" s="13" t="s">
        <v>246</v>
      </c>
      <c r="B188" s="12" t="s">
        <v>23</v>
      </c>
      <c r="C188" s="12" t="s">
        <v>19</v>
      </c>
      <c r="D188" s="13" t="s">
        <v>240</v>
      </c>
      <c r="E188" s="14" t="n">
        <v>44416</v>
      </c>
      <c r="F188" s="15" t="n">
        <f aca="false">ROUND((IF(K188="",DATE(2026,9,30),K188)-E188)/365.25,1)</f>
        <v>4.4</v>
      </c>
      <c r="G188" s="12"/>
      <c r="H188" s="16" t="n">
        <v>45808</v>
      </c>
      <c r="I188" s="12" t="s">
        <v>241</v>
      </c>
      <c r="J188" s="12" t="s">
        <v>55</v>
      </c>
      <c r="K188" s="17" t="n">
        <v>46015</v>
      </c>
      <c r="L188" s="12"/>
      <c r="M188" s="12" t="s">
        <v>70</v>
      </c>
      <c r="N188" s="12"/>
    </row>
    <row r="189" customFormat="false" ht="15" hidden="false" customHeight="false" outlineLevel="0" collapsed="false">
      <c r="A189" s="13" t="s">
        <v>247</v>
      </c>
      <c r="B189" s="12" t="s">
        <v>23</v>
      </c>
      <c r="C189" s="12" t="s">
        <v>19</v>
      </c>
      <c r="D189" s="13" t="s">
        <v>245</v>
      </c>
      <c r="E189" s="14" t="n">
        <v>45051</v>
      </c>
      <c r="F189" s="15" t="n">
        <f aca="false">ROUND((IF(K189="",DATE(2026,9,30),K189)-E189)/365.25,1)</f>
        <v>3.3</v>
      </c>
      <c r="G189" s="12"/>
      <c r="H189" s="16" t="n">
        <v>45808</v>
      </c>
      <c r="I189" s="12" t="s">
        <v>241</v>
      </c>
      <c r="J189" s="12" t="s">
        <v>55</v>
      </c>
      <c r="K189" s="17" t="n">
        <v>46252</v>
      </c>
      <c r="L189" s="12"/>
      <c r="M189" s="12" t="s">
        <v>70</v>
      </c>
      <c r="N189" s="12"/>
    </row>
    <row r="190" customFormat="false" ht="15" hidden="false" customHeight="false" outlineLevel="0" collapsed="false">
      <c r="A190" s="13" t="s">
        <v>248</v>
      </c>
      <c r="B190" s="12" t="s">
        <v>23</v>
      </c>
      <c r="C190" s="12" t="s">
        <v>19</v>
      </c>
      <c r="D190" s="13" t="s">
        <v>245</v>
      </c>
      <c r="E190" s="14" t="n">
        <v>44754</v>
      </c>
      <c r="F190" s="15" t="n">
        <f aca="false">ROUND((IF(K190="",DATE(2026,9,30),K190)-E190)/365.25,1)</f>
        <v>3.3</v>
      </c>
      <c r="G190" s="12"/>
      <c r="H190" s="16" t="n">
        <v>45808</v>
      </c>
      <c r="I190" s="12" t="s">
        <v>241</v>
      </c>
      <c r="J190" s="12" t="s">
        <v>42</v>
      </c>
      <c r="K190" s="17" t="n">
        <v>45954</v>
      </c>
      <c r="L190" s="12"/>
      <c r="M190" s="12" t="s">
        <v>70</v>
      </c>
      <c r="N190" s="12"/>
    </row>
    <row r="191" customFormat="false" ht="15" hidden="false" customHeight="false" outlineLevel="0" collapsed="false">
      <c r="A191" s="13" t="s">
        <v>249</v>
      </c>
      <c r="B191" s="12" t="s">
        <v>23</v>
      </c>
      <c r="C191" s="12" t="s">
        <v>19</v>
      </c>
      <c r="D191" s="13" t="s">
        <v>240</v>
      </c>
      <c r="E191" s="14" t="n">
        <v>44754</v>
      </c>
      <c r="F191" s="15" t="n">
        <f aca="false">ROUND((IF(K191="",DATE(2026,9,30),K191)-E191)/365.25,1)</f>
        <v>3.4</v>
      </c>
      <c r="G191" s="12"/>
      <c r="H191" s="16" t="n">
        <v>45808</v>
      </c>
      <c r="I191" s="12" t="s">
        <v>241</v>
      </c>
      <c r="J191" s="12" t="s">
        <v>55</v>
      </c>
      <c r="K191" s="17" t="n">
        <v>46014</v>
      </c>
      <c r="L191" s="12"/>
      <c r="M191" s="12" t="s">
        <v>70</v>
      </c>
      <c r="N191" s="12"/>
    </row>
    <row r="192" customFormat="false" ht="15" hidden="false" customHeight="false" outlineLevel="0" collapsed="false">
      <c r="A192" s="13" t="s">
        <v>250</v>
      </c>
      <c r="B192" s="12" t="s">
        <v>23</v>
      </c>
      <c r="C192" s="12" t="s">
        <v>19</v>
      </c>
      <c r="D192" s="13" t="s">
        <v>240</v>
      </c>
      <c r="E192" s="14" t="n">
        <v>44368</v>
      </c>
      <c r="F192" s="15" t="n">
        <f aca="false">ROUND((IF(K192="",DATE(2026,9,30),K192)-E192)/365.25,1)</f>
        <v>4.2</v>
      </c>
      <c r="G192" s="12"/>
      <c r="H192" s="16" t="n">
        <v>45808</v>
      </c>
      <c r="I192" s="12" t="s">
        <v>241</v>
      </c>
      <c r="J192" s="12" t="s">
        <v>55</v>
      </c>
      <c r="K192" s="17" t="n">
        <v>45901</v>
      </c>
      <c r="L192" s="12"/>
      <c r="M192" s="12" t="s">
        <v>70</v>
      </c>
      <c r="N192" s="12"/>
    </row>
    <row r="193" customFormat="false" ht="15" hidden="false" customHeight="false" outlineLevel="0" collapsed="false">
      <c r="A193" s="13" t="s">
        <v>251</v>
      </c>
      <c r="B193" s="12" t="s">
        <v>23</v>
      </c>
      <c r="C193" s="12" t="s">
        <v>19</v>
      </c>
      <c r="D193" s="13" t="s">
        <v>240</v>
      </c>
      <c r="E193" s="14" t="n">
        <v>44991</v>
      </c>
      <c r="F193" s="15" t="n">
        <f aca="false">ROUND((IF(K193="",DATE(2026,9,30),K193)-E193)/365.25,1)</f>
        <v>3.5</v>
      </c>
      <c r="G193" s="12"/>
      <c r="H193" s="16" t="n">
        <v>45808</v>
      </c>
      <c r="I193" s="12" t="s">
        <v>241</v>
      </c>
      <c r="J193" s="12" t="s">
        <v>55</v>
      </c>
      <c r="K193" s="17" t="n">
        <v>46252</v>
      </c>
      <c r="L193" s="12"/>
      <c r="M193" s="12" t="s">
        <v>70</v>
      </c>
      <c r="N193" s="12"/>
    </row>
    <row r="194" customFormat="false" ht="15" hidden="false" customHeight="false" outlineLevel="0" collapsed="false">
      <c r="A194" s="13" t="s">
        <v>252</v>
      </c>
      <c r="B194" s="12" t="s">
        <v>23</v>
      </c>
      <c r="C194" s="12" t="s">
        <v>19</v>
      </c>
      <c r="D194" s="13" t="s">
        <v>240</v>
      </c>
      <c r="E194" s="14" t="n">
        <v>44116</v>
      </c>
      <c r="F194" s="15" t="n">
        <f aca="false">ROUND((IF(K194="",DATE(2026,9,30),K194)-E194)/365.25,1)</f>
        <v>5.2</v>
      </c>
      <c r="G194" s="12"/>
      <c r="H194" s="16" t="n">
        <v>45808</v>
      </c>
      <c r="I194" s="12" t="s">
        <v>241</v>
      </c>
      <c r="J194" s="12" t="s">
        <v>55</v>
      </c>
      <c r="K194" s="17" t="n">
        <v>46008</v>
      </c>
      <c r="L194" s="12"/>
      <c r="M194" s="12" t="s">
        <v>70</v>
      </c>
      <c r="N194" s="12"/>
    </row>
    <row r="195" customFormat="false" ht="15" hidden="false" customHeight="false" outlineLevel="0" collapsed="false">
      <c r="A195" s="13" t="s">
        <v>253</v>
      </c>
      <c r="B195" s="12" t="s">
        <v>23</v>
      </c>
      <c r="C195" s="12" t="s">
        <v>19</v>
      </c>
      <c r="D195" s="13" t="s">
        <v>240</v>
      </c>
      <c r="E195" s="14" t="n">
        <v>44054</v>
      </c>
      <c r="F195" s="15" t="n">
        <f aca="false">ROUND((IF(K195="",DATE(2026,9,30),K195)-E195)/365.25,1)</f>
        <v>6</v>
      </c>
      <c r="G195" s="12"/>
      <c r="H195" s="16" t="n">
        <v>45808</v>
      </c>
      <c r="I195" s="12" t="s">
        <v>241</v>
      </c>
      <c r="J195" s="12" t="s">
        <v>55</v>
      </c>
      <c r="K195" s="17" t="n">
        <v>46252</v>
      </c>
      <c r="L195" s="12"/>
      <c r="M195" s="12" t="s">
        <v>70</v>
      </c>
      <c r="N195" s="12"/>
    </row>
    <row r="196" customFormat="false" ht="15" hidden="false" customHeight="false" outlineLevel="0" collapsed="false">
      <c r="A196" s="13" t="s">
        <v>254</v>
      </c>
      <c r="B196" s="12" t="s">
        <v>23</v>
      </c>
      <c r="C196" s="12" t="s">
        <v>19</v>
      </c>
      <c r="D196" s="13" t="s">
        <v>255</v>
      </c>
      <c r="E196" s="14" t="n">
        <v>44995</v>
      </c>
      <c r="F196" s="15" t="n">
        <f aca="false">ROUND((IF(K196="",DATE(2026,9,30),K196)-E196)/365.25,1)</f>
        <v>3.6</v>
      </c>
      <c r="G196" s="12"/>
      <c r="H196" s="16" t="n">
        <v>45808</v>
      </c>
      <c r="I196" s="12" t="s">
        <v>241</v>
      </c>
      <c r="J196" s="12" t="s">
        <v>47</v>
      </c>
      <c r="K196" s="12"/>
      <c r="L196" s="12"/>
      <c r="M196" s="12" t="s">
        <v>70</v>
      </c>
      <c r="N196" s="12"/>
    </row>
    <row r="197" customFormat="false" ht="15" hidden="false" customHeight="false" outlineLevel="0" collapsed="false">
      <c r="A197" s="13" t="s">
        <v>256</v>
      </c>
      <c r="B197" s="12" t="s">
        <v>23</v>
      </c>
      <c r="C197" s="12" t="s">
        <v>19</v>
      </c>
      <c r="D197" s="13" t="s">
        <v>240</v>
      </c>
      <c r="E197" s="14" t="n">
        <v>44384</v>
      </c>
      <c r="F197" s="15" t="n">
        <f aca="false">ROUND((IF(K197="",DATE(2026,9,30),K197)-E197)/365.25,1)</f>
        <v>4.1</v>
      </c>
      <c r="G197" s="12"/>
      <c r="H197" s="16" t="n">
        <v>45808</v>
      </c>
      <c r="I197" s="12" t="s">
        <v>241</v>
      </c>
      <c r="J197" s="12" t="s">
        <v>42</v>
      </c>
      <c r="K197" s="17" t="n">
        <v>45885</v>
      </c>
      <c r="L197" s="12"/>
      <c r="M197" s="12" t="s">
        <v>70</v>
      </c>
      <c r="N197" s="12"/>
    </row>
    <row r="198" customFormat="false" ht="15" hidden="false" customHeight="false" outlineLevel="0" collapsed="false">
      <c r="A198" s="13" t="s">
        <v>257</v>
      </c>
      <c r="B198" s="12" t="s">
        <v>23</v>
      </c>
      <c r="C198" s="12" t="s">
        <v>19</v>
      </c>
      <c r="D198" s="13" t="s">
        <v>245</v>
      </c>
      <c r="E198" s="14" t="n">
        <v>44397</v>
      </c>
      <c r="F198" s="15" t="n">
        <f aca="false">ROUND((IF(K198="",DATE(2026,9,30),K198)-E198)/365.25,1)</f>
        <v>4.4</v>
      </c>
      <c r="G198" s="12"/>
      <c r="H198" s="16" t="n">
        <v>45808</v>
      </c>
      <c r="I198" s="12" t="s">
        <v>241</v>
      </c>
      <c r="J198" s="12" t="s">
        <v>55</v>
      </c>
      <c r="K198" s="17" t="n">
        <v>46008</v>
      </c>
      <c r="L198" s="12"/>
      <c r="M198" s="12" t="s">
        <v>70</v>
      </c>
      <c r="N198" s="12"/>
    </row>
    <row r="199" customFormat="false" ht="15" hidden="false" customHeight="false" outlineLevel="0" collapsed="false">
      <c r="A199" s="13" t="s">
        <v>258</v>
      </c>
      <c r="B199" s="12" t="s">
        <v>23</v>
      </c>
      <c r="C199" s="12" t="s">
        <v>19</v>
      </c>
      <c r="D199" s="13" t="s">
        <v>245</v>
      </c>
      <c r="E199" s="14" t="n">
        <v>44001</v>
      </c>
      <c r="F199" s="15" t="n">
        <f aca="false">ROUND((IF(K199="",DATE(2026,9,30),K199)-E199)/365.25,1)</f>
        <v>5.4</v>
      </c>
      <c r="G199" s="12"/>
      <c r="H199" s="16" t="n">
        <v>45808</v>
      </c>
      <c r="I199" s="12" t="s">
        <v>241</v>
      </c>
      <c r="J199" s="12" t="s">
        <v>81</v>
      </c>
      <c r="K199" s="17" t="n">
        <v>45958</v>
      </c>
      <c r="L199" s="12"/>
      <c r="M199" s="12" t="s">
        <v>70</v>
      </c>
      <c r="N199" s="12"/>
    </row>
    <row r="200" customFormat="false" ht="15" hidden="false" customHeight="false" outlineLevel="0" collapsed="false">
      <c r="A200" s="13" t="s">
        <v>259</v>
      </c>
      <c r="B200" s="12" t="s">
        <v>23</v>
      </c>
      <c r="C200" s="12" t="s">
        <v>19</v>
      </c>
      <c r="D200" s="13" t="s">
        <v>245</v>
      </c>
      <c r="E200" s="14" t="n">
        <v>43698</v>
      </c>
      <c r="F200" s="15" t="n">
        <f aca="false">ROUND((IF(K200="",DATE(2026,9,30),K200)-E200)/365.25,1)</f>
        <v>7</v>
      </c>
      <c r="G200" s="12"/>
      <c r="H200" s="16" t="n">
        <v>45808</v>
      </c>
      <c r="I200" s="12" t="s">
        <v>241</v>
      </c>
      <c r="J200" s="12" t="s">
        <v>55</v>
      </c>
      <c r="K200" s="17" t="n">
        <v>46252</v>
      </c>
      <c r="L200" s="12"/>
      <c r="M200" s="12" t="s">
        <v>70</v>
      </c>
      <c r="N200" s="12"/>
    </row>
    <row r="201" customFormat="false" ht="15" hidden="false" customHeight="false" outlineLevel="0" collapsed="false">
      <c r="A201" s="13" t="s">
        <v>260</v>
      </c>
      <c r="B201" s="12" t="s">
        <v>23</v>
      </c>
      <c r="C201" s="12" t="s">
        <v>19</v>
      </c>
      <c r="D201" s="13" t="s">
        <v>245</v>
      </c>
      <c r="E201" s="14" t="n">
        <v>45185</v>
      </c>
      <c r="F201" s="15" t="n">
        <f aca="false">ROUND((IF(K201="",DATE(2026,9,30),K201)-E201)/365.25,1)</f>
        <v>2.9</v>
      </c>
      <c r="G201" s="12"/>
      <c r="H201" s="16" t="n">
        <v>45808</v>
      </c>
      <c r="I201" s="12" t="s">
        <v>241</v>
      </c>
      <c r="J201" s="12" t="s">
        <v>55</v>
      </c>
      <c r="K201" s="17" t="n">
        <v>46252</v>
      </c>
      <c r="L201" s="12"/>
      <c r="M201" s="12" t="s">
        <v>70</v>
      </c>
      <c r="N201" s="12"/>
    </row>
    <row r="202" customFormat="false" ht="15" hidden="false" customHeight="false" outlineLevel="0" collapsed="false">
      <c r="A202" s="13" t="s">
        <v>261</v>
      </c>
      <c r="B202" s="12" t="s">
        <v>23</v>
      </c>
      <c r="C202" s="12" t="s">
        <v>19</v>
      </c>
      <c r="D202" s="13" t="s">
        <v>240</v>
      </c>
      <c r="E202" s="14" t="n">
        <v>43965</v>
      </c>
      <c r="F202" s="15" t="n">
        <f aca="false">ROUND((IF(K202="",DATE(2026,9,30),K202)-E202)/365.25,1)</f>
        <v>6.4</v>
      </c>
      <c r="G202" s="12"/>
      <c r="H202" s="16" t="n">
        <v>45808</v>
      </c>
      <c r="I202" s="12" t="s">
        <v>241</v>
      </c>
      <c r="J202" s="12" t="s">
        <v>47</v>
      </c>
      <c r="K202" s="12"/>
      <c r="L202" s="12"/>
      <c r="M202" s="12" t="s">
        <v>70</v>
      </c>
      <c r="N202" s="12"/>
    </row>
    <row r="203" customFormat="false" ht="15" hidden="false" customHeight="false" outlineLevel="0" collapsed="false">
      <c r="A203" s="13" t="s">
        <v>262</v>
      </c>
      <c r="B203" s="12" t="s">
        <v>23</v>
      </c>
      <c r="C203" s="12" t="s">
        <v>19</v>
      </c>
      <c r="D203" s="13" t="s">
        <v>240</v>
      </c>
      <c r="E203" s="14" t="n">
        <v>44267</v>
      </c>
      <c r="F203" s="15" t="n">
        <f aca="false">ROUND((IF(K203="",DATE(2026,9,30),K203)-E203)/365.25,1)</f>
        <v>4.8</v>
      </c>
      <c r="G203" s="12"/>
      <c r="H203" s="16" t="n">
        <v>45808</v>
      </c>
      <c r="I203" s="12" t="s">
        <v>241</v>
      </c>
      <c r="J203" s="12" t="s">
        <v>55</v>
      </c>
      <c r="K203" s="17" t="n">
        <v>46014</v>
      </c>
      <c r="L203" s="12"/>
      <c r="M203" s="12" t="s">
        <v>70</v>
      </c>
      <c r="N203" s="12"/>
    </row>
    <row r="204" customFormat="false" ht="15" hidden="false" customHeight="false" outlineLevel="0" collapsed="false">
      <c r="A204" s="13" t="s">
        <v>263</v>
      </c>
      <c r="B204" s="12" t="s">
        <v>23</v>
      </c>
      <c r="C204" s="12" t="s">
        <v>19</v>
      </c>
      <c r="D204" s="13" t="s">
        <v>240</v>
      </c>
      <c r="E204" s="14" t="n">
        <v>44821</v>
      </c>
      <c r="F204" s="15" t="n">
        <f aca="false">ROUND((IF(K204="",DATE(2026,9,30),K204)-E204)/365.25,1)</f>
        <v>3.3</v>
      </c>
      <c r="G204" s="12"/>
      <c r="H204" s="16" t="n">
        <v>45808</v>
      </c>
      <c r="I204" s="12" t="s">
        <v>241</v>
      </c>
      <c r="J204" s="12" t="s">
        <v>55</v>
      </c>
      <c r="K204" s="17" t="n">
        <v>46022</v>
      </c>
      <c r="L204" s="12"/>
      <c r="M204" s="12" t="s">
        <v>70</v>
      </c>
      <c r="N204" s="12"/>
    </row>
    <row r="205" customFormat="false" ht="15" hidden="false" customHeight="false" outlineLevel="0" collapsed="false">
      <c r="A205" s="13" t="s">
        <v>264</v>
      </c>
      <c r="B205" s="12" t="s">
        <v>23</v>
      </c>
      <c r="C205" s="12" t="s">
        <v>19</v>
      </c>
      <c r="D205" s="13" t="s">
        <v>255</v>
      </c>
      <c r="E205" s="14" t="n">
        <v>43903</v>
      </c>
      <c r="F205" s="15" t="n">
        <f aca="false">ROUND((IF(K205="",DATE(2026,9,30),K205)-E205)/365.25,1)</f>
        <v>6.5</v>
      </c>
      <c r="G205" s="12"/>
      <c r="H205" s="16" t="n">
        <v>45808</v>
      </c>
      <c r="I205" s="12" t="s">
        <v>241</v>
      </c>
      <c r="J205" s="12" t="s">
        <v>47</v>
      </c>
      <c r="K205" s="12"/>
      <c r="L205" s="12"/>
      <c r="M205" s="12" t="s">
        <v>70</v>
      </c>
      <c r="N205" s="12"/>
    </row>
    <row r="206" customFormat="false" ht="15" hidden="false" customHeight="false" outlineLevel="0" collapsed="false">
      <c r="A206" s="13" t="s">
        <v>265</v>
      </c>
      <c r="B206" s="12" t="s">
        <v>23</v>
      </c>
      <c r="C206" s="12" t="s">
        <v>19</v>
      </c>
      <c r="D206" s="13" t="s">
        <v>245</v>
      </c>
      <c r="E206" s="14" t="n">
        <v>43738</v>
      </c>
      <c r="F206" s="15" t="n">
        <f aca="false">ROUND((IF(K206="",DATE(2026,9,30),K206)-E206)/365.25,1)</f>
        <v>6.2</v>
      </c>
      <c r="G206" s="12"/>
      <c r="H206" s="16" t="n">
        <v>45808</v>
      </c>
      <c r="I206" s="12" t="s">
        <v>241</v>
      </c>
      <c r="J206" s="12" t="s">
        <v>55</v>
      </c>
      <c r="K206" s="17" t="n">
        <v>46010</v>
      </c>
      <c r="L206" s="12"/>
      <c r="M206" s="12" t="s">
        <v>70</v>
      </c>
      <c r="N206" s="12"/>
    </row>
    <row r="207" customFormat="false" ht="15" hidden="false" customHeight="false" outlineLevel="0" collapsed="false">
      <c r="A207" s="13" t="s">
        <v>266</v>
      </c>
      <c r="B207" s="12" t="s">
        <v>23</v>
      </c>
      <c r="C207" s="12" t="s">
        <v>20</v>
      </c>
      <c r="D207" s="13" t="s">
        <v>245</v>
      </c>
      <c r="E207" s="14" t="n">
        <v>44913</v>
      </c>
      <c r="F207" s="15" t="n">
        <f aca="false">ROUND((IF(K207="",DATE(2026,9,30),K207)-E207)/365.25,1)</f>
        <v>3.8</v>
      </c>
      <c r="G207" s="12"/>
      <c r="H207" s="16" t="n">
        <v>45808</v>
      </c>
      <c r="I207" s="12" t="s">
        <v>241</v>
      </c>
      <c r="J207" s="12" t="s">
        <v>47</v>
      </c>
      <c r="K207" s="12"/>
      <c r="L207" s="12"/>
      <c r="M207" s="12" t="s">
        <v>70</v>
      </c>
      <c r="N207" s="12" t="s">
        <v>267</v>
      </c>
    </row>
    <row r="208" customFormat="false" ht="15" hidden="false" customHeight="false" outlineLevel="0" collapsed="false">
      <c r="A208" s="13" t="s">
        <v>268</v>
      </c>
      <c r="B208" s="12" t="s">
        <v>23</v>
      </c>
      <c r="C208" s="12" t="s">
        <v>19</v>
      </c>
      <c r="D208" s="13" t="s">
        <v>255</v>
      </c>
      <c r="E208" s="14" t="n">
        <v>45346</v>
      </c>
      <c r="F208" s="15" t="n">
        <f aca="false">ROUND((IF(K208="",DATE(2026,9,30),K208)-E208)/365.25,1)</f>
        <v>1.5</v>
      </c>
      <c r="G208" s="12"/>
      <c r="H208" s="16" t="n">
        <v>45808</v>
      </c>
      <c r="I208" s="12" t="s">
        <v>241</v>
      </c>
      <c r="J208" s="12" t="s">
        <v>42</v>
      </c>
      <c r="K208" s="17" t="n">
        <v>45888</v>
      </c>
      <c r="L208" s="12"/>
      <c r="M208" s="12" t="s">
        <v>70</v>
      </c>
      <c r="N208" s="12"/>
    </row>
    <row r="209" customFormat="false" ht="15" hidden="false" customHeight="false" outlineLevel="0" collapsed="false">
      <c r="A209" s="13" t="s">
        <v>269</v>
      </c>
      <c r="B209" s="12" t="s">
        <v>23</v>
      </c>
      <c r="C209" s="12" t="s">
        <v>19</v>
      </c>
      <c r="D209" s="13" t="s">
        <v>245</v>
      </c>
      <c r="E209" s="14" t="n">
        <v>44644</v>
      </c>
      <c r="F209" s="15" t="n">
        <f aca="false">ROUND((IF(K209="",DATE(2026,9,30),K209)-E209)/365.25,1)</f>
        <v>3.8</v>
      </c>
      <c r="G209" s="12"/>
      <c r="H209" s="16" t="n">
        <v>45808</v>
      </c>
      <c r="I209" s="12" t="s">
        <v>241</v>
      </c>
      <c r="J209" s="12" t="s">
        <v>55</v>
      </c>
      <c r="K209" s="17" t="n">
        <v>46015</v>
      </c>
      <c r="L209" s="12"/>
      <c r="M209" s="12" t="s">
        <v>70</v>
      </c>
      <c r="N209" s="12"/>
    </row>
    <row r="210" customFormat="false" ht="15" hidden="false" customHeight="false" outlineLevel="0" collapsed="false">
      <c r="A210" s="13" t="s">
        <v>270</v>
      </c>
      <c r="B210" s="12" t="s">
        <v>23</v>
      </c>
      <c r="C210" s="12" t="s">
        <v>19</v>
      </c>
      <c r="D210" s="13" t="s">
        <v>245</v>
      </c>
      <c r="E210" s="14" t="n">
        <v>45270</v>
      </c>
      <c r="F210" s="15" t="n">
        <f aca="false">ROUND((IF(K210="",DATE(2026,9,30),K210)-E210)/365.25,1)</f>
        <v>2.8</v>
      </c>
      <c r="G210" s="12"/>
      <c r="H210" s="16" t="n">
        <v>45808</v>
      </c>
      <c r="I210" s="12" t="s">
        <v>241</v>
      </c>
      <c r="J210" s="12" t="s">
        <v>47</v>
      </c>
      <c r="K210" s="12"/>
      <c r="L210" s="12"/>
      <c r="M210" s="12" t="s">
        <v>70</v>
      </c>
      <c r="N210" s="12"/>
    </row>
    <row r="211" customFormat="false" ht="15" hidden="false" customHeight="false" outlineLevel="0" collapsed="false">
      <c r="A211" s="13" t="s">
        <v>271</v>
      </c>
      <c r="B211" s="12" t="s">
        <v>23</v>
      </c>
      <c r="C211" s="12" t="s">
        <v>19</v>
      </c>
      <c r="D211" s="13" t="s">
        <v>245</v>
      </c>
      <c r="E211" s="14" t="n">
        <v>45330</v>
      </c>
      <c r="F211" s="15" t="n">
        <f aca="false">ROUND((IF(K211="",DATE(2026,9,30),K211)-E211)/365.25,1)</f>
        <v>2.6</v>
      </c>
      <c r="G211" s="12"/>
      <c r="H211" s="16" t="n">
        <v>45808</v>
      </c>
      <c r="I211" s="12" t="s">
        <v>241</v>
      </c>
      <c r="J211" s="12" t="s">
        <v>47</v>
      </c>
      <c r="K211" s="12"/>
      <c r="L211" s="12"/>
      <c r="M211" s="12" t="s">
        <v>70</v>
      </c>
      <c r="N211" s="12"/>
    </row>
    <row r="212" customFormat="false" ht="15" hidden="false" customHeight="false" outlineLevel="0" collapsed="false">
      <c r="A212" s="13" t="s">
        <v>272</v>
      </c>
      <c r="B212" s="12" t="s">
        <v>23</v>
      </c>
      <c r="C212" s="12" t="s">
        <v>19</v>
      </c>
      <c r="D212" s="13" t="s">
        <v>240</v>
      </c>
      <c r="E212" s="14" t="n">
        <v>45206</v>
      </c>
      <c r="F212" s="15" t="n">
        <f aca="false">ROUND((IF(K212="",DATE(2026,9,30),K212)-E212)/365.25,1)</f>
        <v>3</v>
      </c>
      <c r="G212" s="12"/>
      <c r="H212" s="16" t="n">
        <v>45808</v>
      </c>
      <c r="I212" s="12" t="s">
        <v>241</v>
      </c>
      <c r="J212" s="12" t="s">
        <v>47</v>
      </c>
      <c r="K212" s="12"/>
      <c r="L212" s="12"/>
      <c r="M212" s="12" t="s">
        <v>70</v>
      </c>
      <c r="N212" s="12"/>
    </row>
    <row r="213" customFormat="false" ht="15" hidden="false" customHeight="false" outlineLevel="0" collapsed="false">
      <c r="A213" s="13" t="s">
        <v>273</v>
      </c>
      <c r="B213" s="12" t="s">
        <v>23</v>
      </c>
      <c r="C213" s="12" t="s">
        <v>19</v>
      </c>
      <c r="D213" s="13" t="s">
        <v>255</v>
      </c>
      <c r="E213" s="14" t="n">
        <v>44361</v>
      </c>
      <c r="F213" s="15" t="n">
        <f aca="false">ROUND((IF(K213="",DATE(2026,9,30),K213)-E213)/365.25,1)</f>
        <v>4.5</v>
      </c>
      <c r="G213" s="12"/>
      <c r="H213" s="16" t="n">
        <v>45808</v>
      </c>
      <c r="I213" s="12" t="s">
        <v>241</v>
      </c>
      <c r="J213" s="12" t="s">
        <v>55</v>
      </c>
      <c r="K213" s="17" t="n">
        <v>46008</v>
      </c>
      <c r="L213" s="12"/>
      <c r="M213" s="12" t="s">
        <v>70</v>
      </c>
      <c r="N213" s="12"/>
    </row>
    <row r="214" customFormat="false" ht="15" hidden="false" customHeight="false" outlineLevel="0" collapsed="false">
      <c r="A214" s="13" t="s">
        <v>274</v>
      </c>
      <c r="B214" s="12" t="s">
        <v>23</v>
      </c>
      <c r="C214" s="12" t="s">
        <v>19</v>
      </c>
      <c r="D214" s="13" t="s">
        <v>255</v>
      </c>
      <c r="E214" s="14" t="n">
        <v>44819</v>
      </c>
      <c r="F214" s="15" t="n">
        <f aca="false">ROUND((IF(K214="",DATE(2026,9,30),K214)-E214)/365.25,1)</f>
        <v>3.9</v>
      </c>
      <c r="G214" s="12"/>
      <c r="H214" s="16" t="n">
        <v>45808</v>
      </c>
      <c r="I214" s="12" t="s">
        <v>241</v>
      </c>
      <c r="J214" s="12" t="s">
        <v>55</v>
      </c>
      <c r="K214" s="17" t="n">
        <v>46252</v>
      </c>
      <c r="L214" s="12"/>
      <c r="M214" s="12" t="s">
        <v>70</v>
      </c>
      <c r="N214" s="12"/>
    </row>
    <row r="215" customFormat="false" ht="15" hidden="false" customHeight="false" outlineLevel="0" collapsed="false">
      <c r="A215" s="13" t="s">
        <v>275</v>
      </c>
      <c r="B215" s="12" t="s">
        <v>23</v>
      </c>
      <c r="C215" s="12" t="s">
        <v>19</v>
      </c>
      <c r="D215" s="13" t="s">
        <v>240</v>
      </c>
      <c r="E215" s="14" t="n">
        <v>44307</v>
      </c>
      <c r="F215" s="15" t="n">
        <f aca="false">ROUND((IF(K215="",DATE(2026,9,30),K215)-E215)/365.25,1)</f>
        <v>4.7</v>
      </c>
      <c r="G215" s="12"/>
      <c r="H215" s="16" t="n">
        <v>45808</v>
      </c>
      <c r="I215" s="12" t="s">
        <v>241</v>
      </c>
      <c r="J215" s="12" t="s">
        <v>55</v>
      </c>
      <c r="K215" s="17" t="n">
        <v>46008</v>
      </c>
      <c r="L215" s="12"/>
      <c r="M215" s="12" t="s">
        <v>70</v>
      </c>
      <c r="N215" s="12"/>
    </row>
    <row r="216" customFormat="false" ht="15" hidden="false" customHeight="false" outlineLevel="0" collapsed="false">
      <c r="A216" s="13" t="s">
        <v>276</v>
      </c>
      <c r="B216" s="12" t="s">
        <v>23</v>
      </c>
      <c r="C216" s="12" t="s">
        <v>19</v>
      </c>
      <c r="D216" s="13" t="s">
        <v>245</v>
      </c>
      <c r="E216" s="14" t="n">
        <v>44119</v>
      </c>
      <c r="F216" s="15" t="n">
        <f aca="false">ROUND((IF(K216="",DATE(2026,9,30),K216)-E216)/365.25,1)</f>
        <v>5.8</v>
      </c>
      <c r="G216" s="12"/>
      <c r="H216" s="16" t="n">
        <v>45808</v>
      </c>
      <c r="I216" s="12" t="s">
        <v>241</v>
      </c>
      <c r="J216" s="12" t="s">
        <v>55</v>
      </c>
      <c r="K216" s="17" t="n">
        <v>46252</v>
      </c>
      <c r="L216" s="12"/>
      <c r="M216" s="12" t="s">
        <v>70</v>
      </c>
      <c r="N216" s="12"/>
    </row>
    <row r="217" customFormat="false" ht="15" hidden="false" customHeight="false" outlineLevel="0" collapsed="false">
      <c r="A217" s="13" t="s">
        <v>277</v>
      </c>
      <c r="B217" s="12" t="s">
        <v>23</v>
      </c>
      <c r="C217" s="12" t="s">
        <v>19</v>
      </c>
      <c r="D217" s="13" t="s">
        <v>255</v>
      </c>
      <c r="E217" s="14" t="n">
        <v>43750</v>
      </c>
      <c r="F217" s="15" t="n">
        <f aca="false">ROUND((IF(K217="",DATE(2026,9,30),K217)-E217)/365.25,1)</f>
        <v>7</v>
      </c>
      <c r="G217" s="12"/>
      <c r="H217" s="16" t="n">
        <v>45808</v>
      </c>
      <c r="I217" s="12" t="s">
        <v>241</v>
      </c>
      <c r="J217" s="12" t="s">
        <v>47</v>
      </c>
      <c r="K217" s="12"/>
      <c r="L217" s="12"/>
      <c r="M217" s="12" t="s">
        <v>70</v>
      </c>
      <c r="N217" s="12"/>
    </row>
    <row r="218" customFormat="false" ht="15" hidden="false" customHeight="false" outlineLevel="0" collapsed="false">
      <c r="A218" s="13" t="s">
        <v>278</v>
      </c>
      <c r="B218" s="12" t="s">
        <v>23</v>
      </c>
      <c r="C218" s="12" t="s">
        <v>19</v>
      </c>
      <c r="D218" s="13" t="s">
        <v>240</v>
      </c>
      <c r="E218" s="14" t="n">
        <v>44306</v>
      </c>
      <c r="F218" s="15" t="n">
        <f aca="false">ROUND((IF(K218="",DATE(2026,9,30),K218)-E218)/365.25,1)</f>
        <v>4.3</v>
      </c>
      <c r="G218" s="12"/>
      <c r="H218" s="16" t="n">
        <v>45808</v>
      </c>
      <c r="I218" s="12" t="s">
        <v>241</v>
      </c>
      <c r="J218" s="12" t="s">
        <v>42</v>
      </c>
      <c r="K218" s="17" t="n">
        <v>45888</v>
      </c>
      <c r="L218" s="12"/>
      <c r="M218" s="12" t="s">
        <v>70</v>
      </c>
      <c r="N218" s="12"/>
    </row>
    <row r="219" customFormat="false" ht="15" hidden="false" customHeight="false" outlineLevel="0" collapsed="false">
      <c r="A219" s="13" t="s">
        <v>279</v>
      </c>
      <c r="B219" s="12" t="s">
        <v>23</v>
      </c>
      <c r="C219" s="12" t="s">
        <v>19</v>
      </c>
      <c r="D219" s="13" t="s">
        <v>240</v>
      </c>
      <c r="E219" s="14" t="n">
        <v>43832</v>
      </c>
      <c r="F219" s="15" t="n">
        <f aca="false">ROUND((IF(K219="",DATE(2026,9,30),K219)-E219)/365.25,1)</f>
        <v>6</v>
      </c>
      <c r="G219" s="12"/>
      <c r="H219" s="16" t="n">
        <v>45808</v>
      </c>
      <c r="I219" s="12" t="s">
        <v>241</v>
      </c>
      <c r="J219" s="12" t="s">
        <v>55</v>
      </c>
      <c r="K219" s="17" t="n">
        <v>46015</v>
      </c>
      <c r="L219" s="12"/>
      <c r="M219" s="12" t="s">
        <v>70</v>
      </c>
      <c r="N219" s="12"/>
    </row>
    <row r="220" customFormat="false" ht="15" hidden="false" customHeight="false" outlineLevel="0" collapsed="false">
      <c r="A220" s="13" t="s">
        <v>280</v>
      </c>
      <c r="B220" s="12" t="s">
        <v>23</v>
      </c>
      <c r="C220" s="12" t="s">
        <v>19</v>
      </c>
      <c r="D220" s="13" t="s">
        <v>255</v>
      </c>
      <c r="E220" s="14" t="n">
        <v>44177</v>
      </c>
      <c r="F220" s="15" t="n">
        <f aca="false">ROUND((IF(K220="",DATE(2026,9,30),K220)-E220)/365.25,1)</f>
        <v>5</v>
      </c>
      <c r="G220" s="12"/>
      <c r="H220" s="16" t="n">
        <v>45808</v>
      </c>
      <c r="I220" s="12" t="s">
        <v>241</v>
      </c>
      <c r="J220" s="12" t="s">
        <v>55</v>
      </c>
      <c r="K220" s="17" t="n">
        <v>46008</v>
      </c>
      <c r="L220" s="12"/>
      <c r="M220" s="12" t="s">
        <v>70</v>
      </c>
      <c r="N220" s="12"/>
    </row>
    <row r="221" customFormat="false" ht="15" hidden="false" customHeight="false" outlineLevel="0" collapsed="false">
      <c r="A221" s="13" t="s">
        <v>281</v>
      </c>
      <c r="B221" s="12" t="s">
        <v>23</v>
      </c>
      <c r="C221" s="12" t="s">
        <v>20</v>
      </c>
      <c r="D221" s="13" t="s">
        <v>255</v>
      </c>
      <c r="E221" s="14" t="n">
        <v>44689</v>
      </c>
      <c r="F221" s="15" t="n">
        <f aca="false">ROUND((IF(K221="",DATE(2026,9,30),K221)-E221)/365.25,1)</f>
        <v>4.4</v>
      </c>
      <c r="G221" s="12"/>
      <c r="H221" s="16" t="n">
        <v>45808</v>
      </c>
      <c r="I221" s="12" t="s">
        <v>241</v>
      </c>
      <c r="J221" s="12" t="s">
        <v>47</v>
      </c>
      <c r="K221" s="12"/>
      <c r="L221" s="12"/>
      <c r="M221" s="12" t="s">
        <v>70</v>
      </c>
      <c r="N221" s="12"/>
    </row>
    <row r="222" customFormat="false" ht="15" hidden="false" customHeight="false" outlineLevel="0" collapsed="false">
      <c r="A222" s="13" t="s">
        <v>282</v>
      </c>
      <c r="B222" s="12" t="s">
        <v>23</v>
      </c>
      <c r="C222" s="12" t="s">
        <v>20</v>
      </c>
      <c r="D222" s="13" t="s">
        <v>240</v>
      </c>
      <c r="E222" s="14" t="n">
        <v>45270</v>
      </c>
      <c r="F222" s="15" t="n">
        <f aca="false">ROUND((IF(K222="",DATE(2026,9,30),K222)-E222)/365.25,1)</f>
        <v>2.8</v>
      </c>
      <c r="G222" s="12"/>
      <c r="H222" s="16" t="n">
        <v>45808</v>
      </c>
      <c r="I222" s="12" t="s">
        <v>241</v>
      </c>
      <c r="J222" s="12" t="s">
        <v>47</v>
      </c>
      <c r="K222" s="12"/>
      <c r="L222" s="12"/>
      <c r="M222" s="12" t="s">
        <v>70</v>
      </c>
      <c r="N222" s="12"/>
    </row>
    <row r="223" customFormat="false" ht="15" hidden="false" customHeight="false" outlineLevel="0" collapsed="false">
      <c r="A223" s="13" t="s">
        <v>283</v>
      </c>
      <c r="B223" s="12" t="s">
        <v>23</v>
      </c>
      <c r="C223" s="12" t="s">
        <v>20</v>
      </c>
      <c r="D223" s="13" t="s">
        <v>245</v>
      </c>
      <c r="E223" s="14" t="n">
        <v>44605</v>
      </c>
      <c r="F223" s="15" t="n">
        <f aca="false">ROUND((IF(K223="",DATE(2026,9,30),K223)-E223)/365.25,1)</f>
        <v>3.5</v>
      </c>
      <c r="G223" s="12"/>
      <c r="H223" s="16" t="n">
        <v>45808</v>
      </c>
      <c r="I223" s="12" t="s">
        <v>241</v>
      </c>
      <c r="J223" s="12" t="s">
        <v>42</v>
      </c>
      <c r="K223" s="17" t="n">
        <v>45873</v>
      </c>
      <c r="L223" s="12"/>
      <c r="M223" s="12" t="s">
        <v>70</v>
      </c>
      <c r="N223" s="12"/>
    </row>
    <row r="224" customFormat="false" ht="15" hidden="false" customHeight="false" outlineLevel="0" collapsed="false">
      <c r="A224" s="13" t="s">
        <v>284</v>
      </c>
      <c r="B224" s="12" t="s">
        <v>23</v>
      </c>
      <c r="C224" s="12" t="s">
        <v>20</v>
      </c>
      <c r="D224" s="13" t="s">
        <v>255</v>
      </c>
      <c r="E224" s="14" t="n">
        <v>44877</v>
      </c>
      <c r="F224" s="15" t="n">
        <f aca="false">ROUND((IF(K224="",DATE(2026,9,30),K224)-E224)/365.25,1)</f>
        <v>3.9</v>
      </c>
      <c r="G224" s="12"/>
      <c r="H224" s="16" t="n">
        <v>45808</v>
      </c>
      <c r="I224" s="12" t="s">
        <v>241</v>
      </c>
      <c r="J224" s="12" t="s">
        <v>47</v>
      </c>
      <c r="K224" s="12"/>
      <c r="L224" s="12"/>
      <c r="M224" s="12" t="s">
        <v>70</v>
      </c>
      <c r="N224" s="12"/>
    </row>
    <row r="225" customFormat="false" ht="15" hidden="false" customHeight="false" outlineLevel="0" collapsed="false">
      <c r="A225" s="13" t="s">
        <v>285</v>
      </c>
      <c r="B225" s="12" t="s">
        <v>23</v>
      </c>
      <c r="C225" s="12" t="s">
        <v>20</v>
      </c>
      <c r="D225" s="13" t="s">
        <v>245</v>
      </c>
      <c r="E225" s="14" t="n">
        <v>44863</v>
      </c>
      <c r="F225" s="15" t="n">
        <f aca="false">ROUND((IF(K225="",DATE(2026,9,30),K225)-E225)/365.25,1)</f>
        <v>3.9</v>
      </c>
      <c r="G225" s="12"/>
      <c r="H225" s="16" t="n">
        <v>45808</v>
      </c>
      <c r="I225" s="12" t="s">
        <v>241</v>
      </c>
      <c r="J225" s="12" t="s">
        <v>47</v>
      </c>
      <c r="K225" s="12"/>
      <c r="L225" s="12"/>
      <c r="M225" s="12" t="s">
        <v>70</v>
      </c>
      <c r="N225" s="12"/>
    </row>
    <row r="226" customFormat="false" ht="15" hidden="false" customHeight="false" outlineLevel="0" collapsed="false">
      <c r="A226" s="13" t="s">
        <v>286</v>
      </c>
      <c r="B226" s="12" t="s">
        <v>23</v>
      </c>
      <c r="C226" s="12" t="s">
        <v>20</v>
      </c>
      <c r="D226" s="13" t="s">
        <v>255</v>
      </c>
      <c r="E226" s="14" t="n">
        <v>44850</v>
      </c>
      <c r="F226" s="15" t="n">
        <f aca="false">ROUND((IF(K226="",DATE(2026,9,30),K226)-E226)/365.25,1)</f>
        <v>4</v>
      </c>
      <c r="G226" s="12"/>
      <c r="H226" s="16" t="n">
        <v>45808</v>
      </c>
      <c r="I226" s="12" t="s">
        <v>241</v>
      </c>
      <c r="J226" s="12" t="s">
        <v>47</v>
      </c>
      <c r="K226" s="12"/>
      <c r="L226" s="12"/>
      <c r="M226" s="12" t="s">
        <v>70</v>
      </c>
      <c r="N226" s="12"/>
    </row>
    <row r="227" customFormat="false" ht="15" hidden="false" customHeight="false" outlineLevel="0" collapsed="false">
      <c r="A227" s="13" t="s">
        <v>287</v>
      </c>
      <c r="B227" s="12" t="s">
        <v>23</v>
      </c>
      <c r="C227" s="12" t="s">
        <v>20</v>
      </c>
      <c r="D227" s="13" t="s">
        <v>245</v>
      </c>
      <c r="E227" s="14" t="n">
        <v>44812</v>
      </c>
      <c r="F227" s="15" t="n">
        <f aca="false">ROUND((IF(K227="",DATE(2026,9,30),K227)-E227)/365.25,1)</f>
        <v>4.1</v>
      </c>
      <c r="G227" s="12"/>
      <c r="H227" s="16" t="n">
        <v>45808</v>
      </c>
      <c r="I227" s="12" t="s">
        <v>241</v>
      </c>
      <c r="J227" s="12" t="s">
        <v>47</v>
      </c>
      <c r="K227" s="12"/>
      <c r="L227" s="12"/>
      <c r="M227" s="12" t="s">
        <v>70</v>
      </c>
      <c r="N227" s="12"/>
    </row>
    <row r="228" customFormat="false" ht="15" hidden="false" customHeight="false" outlineLevel="0" collapsed="false">
      <c r="A228" s="13" t="s">
        <v>288</v>
      </c>
      <c r="B228" s="12" t="s">
        <v>23</v>
      </c>
      <c r="C228" s="12" t="s">
        <v>20</v>
      </c>
      <c r="D228" s="13" t="s">
        <v>255</v>
      </c>
      <c r="E228" s="14" t="n">
        <v>44421</v>
      </c>
      <c r="F228" s="15" t="n">
        <f aca="false">ROUND((IF(K228="",DATE(2026,9,30),K228)-E228)/365.25,1)</f>
        <v>5.1</v>
      </c>
      <c r="G228" s="12"/>
      <c r="H228" s="16" t="n">
        <v>45808</v>
      </c>
      <c r="I228" s="12" t="s">
        <v>241</v>
      </c>
      <c r="J228" s="12" t="s">
        <v>47</v>
      </c>
      <c r="K228" s="12"/>
      <c r="L228" s="12"/>
      <c r="M228" s="12" t="s">
        <v>70</v>
      </c>
      <c r="N228" s="12"/>
    </row>
    <row r="229" customFormat="false" ht="15" hidden="false" customHeight="false" outlineLevel="0" collapsed="false">
      <c r="A229" s="13" t="s">
        <v>289</v>
      </c>
      <c r="B229" s="12" t="s">
        <v>23</v>
      </c>
      <c r="C229" s="12" t="s">
        <v>20</v>
      </c>
      <c r="D229" s="13" t="s">
        <v>245</v>
      </c>
      <c r="E229" s="14" t="n">
        <v>45025</v>
      </c>
      <c r="F229" s="15" t="n">
        <f aca="false">ROUND((IF(K229="",DATE(2026,9,30),K229)-E229)/365.25,1)</f>
        <v>3</v>
      </c>
      <c r="G229" s="12"/>
      <c r="H229" s="16" t="n">
        <v>45808</v>
      </c>
      <c r="I229" s="12" t="s">
        <v>241</v>
      </c>
      <c r="J229" s="12" t="s">
        <v>290</v>
      </c>
      <c r="K229" s="17" t="n">
        <v>46136</v>
      </c>
      <c r="L229" s="12"/>
      <c r="M229" s="12" t="s">
        <v>70</v>
      </c>
      <c r="N229" s="12"/>
    </row>
    <row r="230" customFormat="false" ht="15" hidden="false" customHeight="false" outlineLevel="0" collapsed="false">
      <c r="A230" s="13" t="s">
        <v>291</v>
      </c>
      <c r="B230" s="12" t="s">
        <v>23</v>
      </c>
      <c r="C230" s="12" t="s">
        <v>20</v>
      </c>
      <c r="D230" s="13" t="s">
        <v>245</v>
      </c>
      <c r="E230" s="14" t="n">
        <v>44106</v>
      </c>
      <c r="F230" s="15" t="n">
        <f aca="false">ROUND((IF(K230="",DATE(2026,9,30),K230)-E230)/365.25,1)</f>
        <v>6</v>
      </c>
      <c r="G230" s="12"/>
      <c r="H230" s="16" t="n">
        <v>45808</v>
      </c>
      <c r="I230" s="12" t="s">
        <v>241</v>
      </c>
      <c r="J230" s="12" t="s">
        <v>47</v>
      </c>
      <c r="K230" s="12"/>
      <c r="L230" s="12"/>
      <c r="M230" s="12" t="s">
        <v>70</v>
      </c>
      <c r="N230" s="12"/>
    </row>
    <row r="231" customFormat="false" ht="15" hidden="false" customHeight="false" outlineLevel="0" collapsed="false">
      <c r="A231" s="13" t="s">
        <v>292</v>
      </c>
      <c r="B231" s="12" t="s">
        <v>23</v>
      </c>
      <c r="C231" s="12" t="s">
        <v>20</v>
      </c>
      <c r="D231" s="13" t="s">
        <v>245</v>
      </c>
      <c r="E231" s="14" t="n">
        <v>45086</v>
      </c>
      <c r="F231" s="15" t="n">
        <f aca="false">ROUND((IF(K231="",DATE(2026,9,30),K231)-E231)/365.25,1)</f>
        <v>3.3</v>
      </c>
      <c r="G231" s="12"/>
      <c r="H231" s="16" t="n">
        <v>45808</v>
      </c>
      <c r="I231" s="12" t="s">
        <v>241</v>
      </c>
      <c r="J231" s="12" t="s">
        <v>47</v>
      </c>
      <c r="K231" s="12"/>
      <c r="L231" s="12"/>
      <c r="M231" s="12" t="s">
        <v>70</v>
      </c>
      <c r="N231" s="12"/>
    </row>
    <row r="232" customFormat="false" ht="15" hidden="false" customHeight="false" outlineLevel="0" collapsed="false">
      <c r="A232" s="13" t="s">
        <v>293</v>
      </c>
      <c r="B232" s="12" t="s">
        <v>23</v>
      </c>
      <c r="C232" s="12" t="s">
        <v>20</v>
      </c>
      <c r="D232" s="13" t="s">
        <v>245</v>
      </c>
      <c r="E232" s="14" t="n">
        <v>45163</v>
      </c>
      <c r="F232" s="15" t="n">
        <f aca="false">ROUND((IF(K232="",DATE(2026,9,30),K232)-E232)/365.25,1)</f>
        <v>3.1</v>
      </c>
      <c r="G232" s="12"/>
      <c r="H232" s="16" t="n">
        <v>45808</v>
      </c>
      <c r="I232" s="12" t="s">
        <v>241</v>
      </c>
      <c r="J232" s="12" t="s">
        <v>47</v>
      </c>
      <c r="K232" s="12"/>
      <c r="L232" s="12"/>
      <c r="M232" s="12" t="s">
        <v>70</v>
      </c>
      <c r="N232" s="12"/>
    </row>
    <row r="233" customFormat="false" ht="15" hidden="false" customHeight="false" outlineLevel="0" collapsed="false">
      <c r="A233" s="13" t="s">
        <v>294</v>
      </c>
      <c r="B233" s="12" t="s">
        <v>23</v>
      </c>
      <c r="C233" s="12" t="s">
        <v>20</v>
      </c>
      <c r="D233" s="13" t="s">
        <v>240</v>
      </c>
      <c r="E233" s="14" t="n">
        <v>44455</v>
      </c>
      <c r="F233" s="15" t="n">
        <f aca="false">ROUND((IF(K233="",DATE(2026,9,30),K233)-E233)/365.25,1)</f>
        <v>3.9</v>
      </c>
      <c r="G233" s="12"/>
      <c r="H233" s="16" t="n">
        <v>45808</v>
      </c>
      <c r="I233" s="12" t="s">
        <v>241</v>
      </c>
      <c r="J233" s="12" t="s">
        <v>42</v>
      </c>
      <c r="K233" s="17" t="n">
        <v>45881</v>
      </c>
      <c r="L233" s="12"/>
      <c r="M233" s="12" t="s">
        <v>70</v>
      </c>
      <c r="N233" s="12"/>
    </row>
    <row r="234" customFormat="false" ht="15" hidden="false" customHeight="false" outlineLevel="0" collapsed="false">
      <c r="A234" s="13" t="s">
        <v>295</v>
      </c>
      <c r="B234" s="12" t="s">
        <v>23</v>
      </c>
      <c r="C234" s="12" t="s">
        <v>20</v>
      </c>
      <c r="D234" s="13" t="s">
        <v>240</v>
      </c>
      <c r="E234" s="14" t="n">
        <v>44235</v>
      </c>
      <c r="F234" s="15" t="n">
        <f aca="false">ROUND((IF(K234="",DATE(2026,9,30),K234)-E234)/365.25,1)</f>
        <v>5.6</v>
      </c>
      <c r="G234" s="12"/>
      <c r="H234" s="16" t="n">
        <v>45808</v>
      </c>
      <c r="I234" s="12" t="s">
        <v>241</v>
      </c>
      <c r="J234" s="12" t="s">
        <v>47</v>
      </c>
      <c r="K234" s="12"/>
      <c r="L234" s="12"/>
      <c r="M234" s="12" t="s">
        <v>70</v>
      </c>
      <c r="N234" s="12"/>
    </row>
    <row r="235" customFormat="false" ht="15" hidden="false" customHeight="false" outlineLevel="0" collapsed="false">
      <c r="A235" s="13" t="s">
        <v>296</v>
      </c>
      <c r="B235" s="12" t="s">
        <v>23</v>
      </c>
      <c r="C235" s="12" t="s">
        <v>20</v>
      </c>
      <c r="D235" s="13" t="s">
        <v>255</v>
      </c>
      <c r="E235" s="14" t="n">
        <v>44841</v>
      </c>
      <c r="F235" s="15" t="n">
        <f aca="false">ROUND((IF(K235="",DATE(2026,9,30),K235)-E235)/365.25,1)</f>
        <v>4</v>
      </c>
      <c r="G235" s="12"/>
      <c r="H235" s="16" t="n">
        <v>45808</v>
      </c>
      <c r="I235" s="12" t="s">
        <v>241</v>
      </c>
      <c r="J235" s="12" t="s">
        <v>47</v>
      </c>
      <c r="K235" s="12"/>
      <c r="L235" s="12"/>
      <c r="M235" s="12" t="s">
        <v>70</v>
      </c>
      <c r="N235" s="12"/>
    </row>
    <row r="236" customFormat="false" ht="15" hidden="false" customHeight="false" outlineLevel="0" collapsed="false">
      <c r="A236" s="13" t="s">
        <v>297</v>
      </c>
      <c r="B236" s="12" t="s">
        <v>23</v>
      </c>
      <c r="C236" s="12" t="s">
        <v>20</v>
      </c>
      <c r="D236" s="13" t="s">
        <v>255</v>
      </c>
      <c r="E236" s="14" t="n">
        <v>44358</v>
      </c>
      <c r="F236" s="15" t="n">
        <f aca="false">ROUND((IF(K236="",DATE(2026,9,30),K236)-E236)/365.25,1)</f>
        <v>4.5</v>
      </c>
      <c r="G236" s="12"/>
      <c r="H236" s="16" t="n">
        <v>45808</v>
      </c>
      <c r="I236" s="12" t="s">
        <v>241</v>
      </c>
      <c r="J236" s="12" t="s">
        <v>55</v>
      </c>
      <c r="K236" s="17" t="n">
        <v>46014</v>
      </c>
      <c r="L236" s="12"/>
      <c r="M236" s="12" t="s">
        <v>70</v>
      </c>
      <c r="N236" s="12"/>
    </row>
    <row r="237" customFormat="false" ht="15" hidden="false" customHeight="false" outlineLevel="0" collapsed="false">
      <c r="A237" s="13" t="s">
        <v>298</v>
      </c>
      <c r="B237" s="12" t="s">
        <v>23</v>
      </c>
      <c r="C237" s="12" t="s">
        <v>20</v>
      </c>
      <c r="D237" s="13" t="s">
        <v>255</v>
      </c>
      <c r="E237" s="14" t="n">
        <v>44643</v>
      </c>
      <c r="F237" s="15" t="n">
        <f aca="false">ROUND((IF(K237="",DATE(2026,9,30),K237)-E237)/365.25,1)</f>
        <v>3.4</v>
      </c>
      <c r="G237" s="12"/>
      <c r="H237" s="16" t="n">
        <v>45808</v>
      </c>
      <c r="I237" s="12" t="s">
        <v>241</v>
      </c>
      <c r="J237" s="12" t="s">
        <v>42</v>
      </c>
      <c r="K237" s="17" t="n">
        <v>45898</v>
      </c>
      <c r="L237" s="12"/>
      <c r="M237" s="12" t="s">
        <v>70</v>
      </c>
      <c r="N237" s="12"/>
    </row>
    <row r="238" customFormat="false" ht="15" hidden="false" customHeight="false" outlineLevel="0" collapsed="false">
      <c r="A238" s="13" t="s">
        <v>299</v>
      </c>
      <c r="B238" s="12" t="s">
        <v>23</v>
      </c>
      <c r="C238" s="12" t="s">
        <v>20</v>
      </c>
      <c r="D238" s="13" t="s">
        <v>255</v>
      </c>
      <c r="E238" s="14" t="n">
        <v>44951</v>
      </c>
      <c r="F238" s="15" t="n">
        <f aca="false">ROUND((IF(K238="",DATE(2026,9,30),K238)-E238)/365.25,1)</f>
        <v>3.7</v>
      </c>
      <c r="G238" s="12"/>
      <c r="H238" s="16" t="n">
        <v>45808</v>
      </c>
      <c r="I238" s="12" t="s">
        <v>241</v>
      </c>
      <c r="J238" s="12" t="s">
        <v>47</v>
      </c>
      <c r="K238" s="12"/>
      <c r="L238" s="12"/>
      <c r="M238" s="12" t="s">
        <v>70</v>
      </c>
      <c r="N238" s="12"/>
    </row>
    <row r="239" customFormat="false" ht="15" hidden="false" customHeight="false" outlineLevel="0" collapsed="false">
      <c r="A239" s="13" t="s">
        <v>300</v>
      </c>
      <c r="B239" s="12" t="s">
        <v>23</v>
      </c>
      <c r="C239" s="12" t="s">
        <v>20</v>
      </c>
      <c r="D239" s="13" t="s">
        <v>245</v>
      </c>
      <c r="E239" s="14" t="n">
        <v>44210</v>
      </c>
      <c r="F239" s="15" t="n">
        <f aca="false">ROUND((IF(K239="",DATE(2026,9,30),K239)-E239)/365.25,1)</f>
        <v>5.7</v>
      </c>
      <c r="G239" s="12"/>
      <c r="H239" s="16" t="n">
        <v>45808</v>
      </c>
      <c r="I239" s="12" t="s">
        <v>241</v>
      </c>
      <c r="J239" s="12" t="s">
        <v>47</v>
      </c>
      <c r="K239" s="12"/>
      <c r="L239" s="12"/>
      <c r="M239" s="12" t="s">
        <v>70</v>
      </c>
      <c r="N239" s="12"/>
    </row>
    <row r="240" customFormat="false" ht="15" hidden="false" customHeight="false" outlineLevel="0" collapsed="false">
      <c r="A240" s="13" t="s">
        <v>301</v>
      </c>
      <c r="B240" s="12" t="s">
        <v>23</v>
      </c>
      <c r="C240" s="12" t="s">
        <v>20</v>
      </c>
      <c r="D240" s="13" t="s">
        <v>245</v>
      </c>
      <c r="E240" s="14" t="n">
        <v>45049</v>
      </c>
      <c r="F240" s="15" t="n">
        <f aca="false">ROUND((IF(K240="",DATE(2026,9,30),K240)-E240)/365.25,1)</f>
        <v>2.8</v>
      </c>
      <c r="G240" s="12"/>
      <c r="H240" s="16" t="n">
        <v>45808</v>
      </c>
      <c r="I240" s="12" t="s">
        <v>241</v>
      </c>
      <c r="J240" s="12" t="s">
        <v>42</v>
      </c>
      <c r="K240" s="17" t="n">
        <v>46084</v>
      </c>
      <c r="L240" s="12"/>
      <c r="M240" s="12" t="s">
        <v>70</v>
      </c>
      <c r="N240" s="12"/>
    </row>
    <row r="241" customFormat="false" ht="15" hidden="false" customHeight="false" outlineLevel="0" collapsed="false">
      <c r="A241" s="13" t="s">
        <v>302</v>
      </c>
      <c r="B241" s="12" t="s">
        <v>23</v>
      </c>
      <c r="C241" s="12" t="s">
        <v>20</v>
      </c>
      <c r="D241" s="13" t="s">
        <v>240</v>
      </c>
      <c r="E241" s="14" t="n">
        <v>44211</v>
      </c>
      <c r="F241" s="15" t="n">
        <f aca="false">ROUND((IF(K241="",DATE(2026,9,30),K241)-E241)/365.25,1)</f>
        <v>4.6</v>
      </c>
      <c r="G241" s="12"/>
      <c r="H241" s="16" t="n">
        <v>45808</v>
      </c>
      <c r="I241" s="12" t="s">
        <v>241</v>
      </c>
      <c r="J241" s="12" t="s">
        <v>163</v>
      </c>
      <c r="K241" s="17" t="n">
        <v>45905</v>
      </c>
      <c r="L241" s="12"/>
      <c r="M241" s="12" t="s">
        <v>70</v>
      </c>
      <c r="N241" s="12"/>
    </row>
    <row r="242" customFormat="false" ht="15" hidden="false" customHeight="false" outlineLevel="0" collapsed="false">
      <c r="A242" s="13" t="s">
        <v>303</v>
      </c>
      <c r="B242" s="12" t="s">
        <v>23</v>
      </c>
      <c r="C242" s="12" t="s">
        <v>20</v>
      </c>
      <c r="D242" s="13" t="s">
        <v>255</v>
      </c>
      <c r="E242" s="14" t="n">
        <v>44173</v>
      </c>
      <c r="F242" s="15" t="n">
        <f aca="false">ROUND((IF(K242="",DATE(2026,9,30),K242)-E242)/365.25,1)</f>
        <v>5.8</v>
      </c>
      <c r="G242" s="12"/>
      <c r="H242" s="16" t="n">
        <v>45808</v>
      </c>
      <c r="I242" s="12" t="s">
        <v>241</v>
      </c>
      <c r="J242" s="12" t="s">
        <v>47</v>
      </c>
      <c r="K242" s="12"/>
      <c r="L242" s="12"/>
      <c r="M242" s="12" t="s">
        <v>70</v>
      </c>
      <c r="N242" s="12"/>
    </row>
    <row r="243" customFormat="false" ht="15" hidden="false" customHeight="false" outlineLevel="0" collapsed="false">
      <c r="A243" s="13" t="s">
        <v>304</v>
      </c>
      <c r="B243" s="12" t="s">
        <v>23</v>
      </c>
      <c r="C243" s="12" t="s">
        <v>20</v>
      </c>
      <c r="D243" s="13" t="s">
        <v>245</v>
      </c>
      <c r="E243" s="14" t="n">
        <v>43813</v>
      </c>
      <c r="F243" s="15" t="n">
        <f aca="false">ROUND((IF(K243="",DATE(2026,9,30),K243)-E243)/365.25,1)</f>
        <v>6.8</v>
      </c>
      <c r="G243" s="12"/>
      <c r="H243" s="16" t="n">
        <v>45808</v>
      </c>
      <c r="I243" s="12" t="s">
        <v>241</v>
      </c>
      <c r="J243" s="12" t="s">
        <v>47</v>
      </c>
      <c r="K243" s="12"/>
      <c r="L243" s="12"/>
      <c r="M243" s="12" t="s">
        <v>70</v>
      </c>
      <c r="N243" s="12"/>
    </row>
    <row r="244" customFormat="false" ht="15" hidden="false" customHeight="false" outlineLevel="0" collapsed="false">
      <c r="A244" s="13" t="s">
        <v>305</v>
      </c>
      <c r="B244" s="12" t="s">
        <v>23</v>
      </c>
      <c r="C244" s="12" t="s">
        <v>20</v>
      </c>
      <c r="D244" s="13" t="s">
        <v>245</v>
      </c>
      <c r="E244" s="14" t="n">
        <v>44971</v>
      </c>
      <c r="F244" s="15" t="n">
        <f aca="false">ROUND((IF(K244="",DATE(2026,9,30),K244)-E244)/365.25,1)</f>
        <v>3.6</v>
      </c>
      <c r="G244" s="12"/>
      <c r="H244" s="16" t="n">
        <v>45808</v>
      </c>
      <c r="I244" s="12" t="s">
        <v>241</v>
      </c>
      <c r="J244" s="12" t="s">
        <v>47</v>
      </c>
      <c r="K244" s="12"/>
      <c r="L244" s="12"/>
      <c r="M244" s="12" t="s">
        <v>70</v>
      </c>
      <c r="N244" s="12"/>
    </row>
    <row r="245" customFormat="false" ht="15" hidden="false" customHeight="false" outlineLevel="0" collapsed="false">
      <c r="A245" s="13" t="s">
        <v>306</v>
      </c>
      <c r="B245" s="12" t="s">
        <v>23</v>
      </c>
      <c r="C245" s="12" t="s">
        <v>20</v>
      </c>
      <c r="D245" s="13" t="s">
        <v>255</v>
      </c>
      <c r="E245" s="14" t="n">
        <v>44885</v>
      </c>
      <c r="F245" s="15" t="n">
        <f aca="false">ROUND((IF(K245="",DATE(2026,9,30),K245)-E245)/365.25,1)</f>
        <v>3.9</v>
      </c>
      <c r="G245" s="12"/>
      <c r="H245" s="16" t="n">
        <v>45808</v>
      </c>
      <c r="I245" s="12" t="s">
        <v>241</v>
      </c>
      <c r="J245" s="12" t="s">
        <v>47</v>
      </c>
      <c r="K245" s="12"/>
      <c r="L245" s="12"/>
      <c r="M245" s="12" t="s">
        <v>70</v>
      </c>
      <c r="N245" s="12"/>
    </row>
    <row r="246" customFormat="false" ht="15" hidden="false" customHeight="false" outlineLevel="0" collapsed="false">
      <c r="A246" s="13" t="s">
        <v>307</v>
      </c>
      <c r="B246" s="12" t="s">
        <v>23</v>
      </c>
      <c r="C246" s="12" t="s">
        <v>20</v>
      </c>
      <c r="D246" s="13" t="s">
        <v>255</v>
      </c>
      <c r="E246" s="14" t="n">
        <v>44638</v>
      </c>
      <c r="F246" s="15" t="n">
        <f aca="false">ROUND((IF(K246="",DATE(2026,9,30),K246)-E246)/365.25,1)</f>
        <v>3.7</v>
      </c>
      <c r="G246" s="12"/>
      <c r="H246" s="16" t="n">
        <v>45808</v>
      </c>
      <c r="I246" s="12" t="s">
        <v>241</v>
      </c>
      <c r="J246" s="12" t="s">
        <v>163</v>
      </c>
      <c r="K246" s="17" t="n">
        <v>45973</v>
      </c>
      <c r="L246" s="12"/>
      <c r="M246" s="12" t="s">
        <v>70</v>
      </c>
      <c r="N246" s="12"/>
    </row>
    <row r="247" customFormat="false" ht="15" hidden="false" customHeight="false" outlineLevel="0" collapsed="false">
      <c r="A247" s="13" t="s">
        <v>308</v>
      </c>
      <c r="B247" s="12" t="s">
        <v>23</v>
      </c>
      <c r="C247" s="12" t="s">
        <v>20</v>
      </c>
      <c r="D247" s="13" t="s">
        <v>240</v>
      </c>
      <c r="E247" s="14" t="n">
        <v>45128</v>
      </c>
      <c r="F247" s="15" t="n">
        <f aca="false">ROUND((IF(K247="",DATE(2026,9,30),K247)-E247)/365.25,1)</f>
        <v>3.2</v>
      </c>
      <c r="G247" s="12"/>
      <c r="H247" s="16" t="n">
        <v>45808</v>
      </c>
      <c r="I247" s="12" t="s">
        <v>241</v>
      </c>
      <c r="J247" s="12" t="s">
        <v>47</v>
      </c>
      <c r="K247" s="12"/>
      <c r="L247" s="12"/>
      <c r="M247" s="12" t="s">
        <v>70</v>
      </c>
      <c r="N247" s="12"/>
    </row>
    <row r="248" customFormat="false" ht="15" hidden="false" customHeight="false" outlineLevel="0" collapsed="false">
      <c r="A248" s="13" t="s">
        <v>309</v>
      </c>
      <c r="B248" s="12" t="s">
        <v>23</v>
      </c>
      <c r="C248" s="12" t="s">
        <v>20</v>
      </c>
      <c r="D248" s="13" t="s">
        <v>245</v>
      </c>
      <c r="E248" s="14" t="n">
        <v>44330</v>
      </c>
      <c r="F248" s="15" t="n">
        <f aca="false">ROUND((IF(K248="",DATE(2026,9,30),K248)-E248)/365.25,1)</f>
        <v>5.4</v>
      </c>
      <c r="G248" s="12"/>
      <c r="H248" s="16" t="n">
        <v>45808</v>
      </c>
      <c r="I248" s="12" t="s">
        <v>241</v>
      </c>
      <c r="J248" s="12" t="s">
        <v>47</v>
      </c>
      <c r="K248" s="12"/>
      <c r="L248" s="12"/>
      <c r="M248" s="12" t="s">
        <v>70</v>
      </c>
      <c r="N248" s="12"/>
    </row>
    <row r="249" customFormat="false" ht="15" hidden="false" customHeight="false" outlineLevel="0" collapsed="false">
      <c r="A249" s="13" t="s">
        <v>310</v>
      </c>
      <c r="B249" s="12" t="s">
        <v>23</v>
      </c>
      <c r="C249" s="12" t="s">
        <v>20</v>
      </c>
      <c r="D249" s="13" t="s">
        <v>240</v>
      </c>
      <c r="E249" s="14" t="n">
        <v>44402</v>
      </c>
      <c r="F249" s="15" t="n">
        <f aca="false">ROUND((IF(K249="",DATE(2026,9,30),K249)-E249)/365.25,1)</f>
        <v>4.6</v>
      </c>
      <c r="G249" s="12"/>
      <c r="H249" s="16" t="n">
        <v>45808</v>
      </c>
      <c r="I249" s="12" t="s">
        <v>241</v>
      </c>
      <c r="J249" s="12" t="s">
        <v>55</v>
      </c>
      <c r="K249" s="17" t="n">
        <v>46064</v>
      </c>
      <c r="L249" s="12"/>
      <c r="M249" s="12" t="s">
        <v>70</v>
      </c>
      <c r="N249" s="12"/>
    </row>
    <row r="250" customFormat="false" ht="15" hidden="false" customHeight="false" outlineLevel="0" collapsed="false">
      <c r="A250" s="13" t="s">
        <v>311</v>
      </c>
      <c r="B250" s="12" t="s">
        <v>23</v>
      </c>
      <c r="C250" s="12" t="s">
        <v>20</v>
      </c>
      <c r="D250" s="13" t="s">
        <v>240</v>
      </c>
      <c r="E250" s="14" t="n">
        <v>43853</v>
      </c>
      <c r="F250" s="15" t="n">
        <f aca="false">ROUND((IF(K250="",DATE(2026,9,30),K250)-E250)/365.25,1)</f>
        <v>6.7</v>
      </c>
      <c r="G250" s="12"/>
      <c r="H250" s="16" t="n">
        <v>45808</v>
      </c>
      <c r="I250" s="12" t="s">
        <v>241</v>
      </c>
      <c r="J250" s="12" t="s">
        <v>47</v>
      </c>
      <c r="K250" s="12"/>
      <c r="L250" s="12"/>
      <c r="M250" s="12" t="s">
        <v>70</v>
      </c>
      <c r="N250" s="12"/>
    </row>
    <row r="251" customFormat="false" ht="15" hidden="false" customHeight="false" outlineLevel="0" collapsed="false">
      <c r="A251" s="13" t="s">
        <v>312</v>
      </c>
      <c r="B251" s="12" t="s">
        <v>23</v>
      </c>
      <c r="C251" s="12" t="s">
        <v>20</v>
      </c>
      <c r="D251" s="13" t="s">
        <v>255</v>
      </c>
      <c r="E251" s="14" t="n">
        <v>43934</v>
      </c>
      <c r="F251" s="15" t="n">
        <f aca="false">ROUND((IF(K251="",DATE(2026,9,30),K251)-E251)/365.25,1)</f>
        <v>5.7</v>
      </c>
      <c r="G251" s="12"/>
      <c r="H251" s="16" t="n">
        <v>45808</v>
      </c>
      <c r="I251" s="12" t="s">
        <v>241</v>
      </c>
      <c r="J251" s="12" t="s">
        <v>81</v>
      </c>
      <c r="K251" s="17" t="n">
        <v>46014</v>
      </c>
      <c r="L251" s="12"/>
      <c r="M251" s="12" t="s">
        <v>70</v>
      </c>
      <c r="N251" s="12"/>
    </row>
    <row r="252" customFormat="false" ht="15" hidden="false" customHeight="false" outlineLevel="0" collapsed="false">
      <c r="A252" s="13" t="s">
        <v>313</v>
      </c>
      <c r="B252" s="12" t="s">
        <v>23</v>
      </c>
      <c r="C252" s="12" t="s">
        <v>20</v>
      </c>
      <c r="D252" s="13" t="s">
        <v>240</v>
      </c>
      <c r="E252" s="14" t="n">
        <v>44261</v>
      </c>
      <c r="F252" s="15" t="n">
        <f aca="false">ROUND((IF(K252="",DATE(2026,9,30),K252)-E252)/365.25,1)</f>
        <v>5.6</v>
      </c>
      <c r="G252" s="12"/>
      <c r="H252" s="16" t="n">
        <v>45808</v>
      </c>
      <c r="I252" s="12" t="s">
        <v>241</v>
      </c>
      <c r="J252" s="12" t="s">
        <v>47</v>
      </c>
      <c r="K252" s="12"/>
      <c r="L252" s="12"/>
      <c r="M252" s="12" t="s">
        <v>70</v>
      </c>
      <c r="N252" s="12"/>
    </row>
    <row r="253" customFormat="false" ht="15" hidden="false" customHeight="false" outlineLevel="0" collapsed="false">
      <c r="A253" s="13" t="s">
        <v>314</v>
      </c>
      <c r="B253" s="12" t="s">
        <v>23</v>
      </c>
      <c r="C253" s="12" t="s">
        <v>20</v>
      </c>
      <c r="D253" s="13" t="s">
        <v>240</v>
      </c>
      <c r="E253" s="14" t="n">
        <v>44814</v>
      </c>
      <c r="F253" s="15" t="n">
        <f aca="false">ROUND((IF(K253="",DATE(2026,9,30),K253)-E253)/365.25,1)</f>
        <v>4.1</v>
      </c>
      <c r="G253" s="12"/>
      <c r="H253" s="16" t="n">
        <v>45808</v>
      </c>
      <c r="I253" s="12" t="s">
        <v>241</v>
      </c>
      <c r="J253" s="12" t="s">
        <v>47</v>
      </c>
      <c r="K253" s="12"/>
      <c r="L253" s="12"/>
      <c r="M253" s="12" t="s">
        <v>70</v>
      </c>
      <c r="N253" s="12"/>
    </row>
    <row r="254" customFormat="false" ht="15" hidden="false" customHeight="false" outlineLevel="0" collapsed="false">
      <c r="A254" s="13" t="s">
        <v>315</v>
      </c>
      <c r="B254" s="12" t="s">
        <v>23</v>
      </c>
      <c r="C254" s="12" t="s">
        <v>20</v>
      </c>
      <c r="D254" s="13" t="s">
        <v>240</v>
      </c>
      <c r="E254" s="14" t="n">
        <v>43898</v>
      </c>
      <c r="F254" s="15" t="n">
        <f aca="false">ROUND((IF(K254="",DATE(2026,9,30),K254)-E254)/365.25,1)</f>
        <v>5.4</v>
      </c>
      <c r="G254" s="12"/>
      <c r="H254" s="16" t="n">
        <v>45808</v>
      </c>
      <c r="I254" s="12" t="s">
        <v>241</v>
      </c>
      <c r="J254" s="12" t="s">
        <v>42</v>
      </c>
      <c r="K254" s="17" t="n">
        <v>45888</v>
      </c>
      <c r="L254" s="12"/>
      <c r="M254" s="12" t="s">
        <v>70</v>
      </c>
      <c r="N254" s="12"/>
    </row>
    <row r="255" customFormat="false" ht="15" hidden="false" customHeight="false" outlineLevel="0" collapsed="false">
      <c r="A255" s="13" t="s">
        <v>316</v>
      </c>
      <c r="B255" s="12" t="s">
        <v>23</v>
      </c>
      <c r="C255" s="12" t="s">
        <v>20</v>
      </c>
      <c r="D255" s="13" t="s">
        <v>255</v>
      </c>
      <c r="E255" s="14" t="n">
        <v>43657</v>
      </c>
      <c r="F255" s="15" t="n">
        <f aca="false">ROUND((IF(K255="",DATE(2026,9,30),K255)-E255)/365.25,1)</f>
        <v>7.2</v>
      </c>
      <c r="G255" s="12"/>
      <c r="H255" s="16" t="n">
        <v>45808</v>
      </c>
      <c r="I255" s="12" t="s">
        <v>241</v>
      </c>
      <c r="J255" s="12" t="s">
        <v>47</v>
      </c>
      <c r="K255" s="12"/>
      <c r="L255" s="12"/>
      <c r="M255" s="12" t="s">
        <v>70</v>
      </c>
      <c r="N255" s="12"/>
    </row>
    <row r="256" customFormat="false" ht="15" hidden="false" customHeight="false" outlineLevel="0" collapsed="false">
      <c r="A256" s="13" t="s">
        <v>317</v>
      </c>
      <c r="B256" s="12" t="s">
        <v>23</v>
      </c>
      <c r="C256" s="12" t="s">
        <v>20</v>
      </c>
      <c r="D256" s="13" t="s">
        <v>245</v>
      </c>
      <c r="E256" s="14" t="n">
        <v>45268</v>
      </c>
      <c r="F256" s="15" t="n">
        <f aca="false">ROUND((IF(K256="",DATE(2026,9,30),K256)-E256)/365.25,1)</f>
        <v>2.8</v>
      </c>
      <c r="G256" s="12"/>
      <c r="H256" s="16" t="n">
        <v>45808</v>
      </c>
      <c r="I256" s="12" t="s">
        <v>241</v>
      </c>
      <c r="J256" s="12" t="s">
        <v>47</v>
      </c>
      <c r="K256" s="12"/>
      <c r="L256" s="12"/>
      <c r="M256" s="12" t="s">
        <v>70</v>
      </c>
      <c r="N256" s="12"/>
    </row>
    <row r="257" customFormat="false" ht="15" hidden="false" customHeight="false" outlineLevel="0" collapsed="false">
      <c r="A257" s="13" t="s">
        <v>318</v>
      </c>
      <c r="B257" s="12" t="s">
        <v>23</v>
      </c>
      <c r="C257" s="12" t="s">
        <v>20</v>
      </c>
      <c r="D257" s="13" t="s">
        <v>245</v>
      </c>
      <c r="E257" s="14" t="n">
        <v>44181</v>
      </c>
      <c r="F257" s="15" t="n">
        <f aca="false">ROUND((IF(K257="",DATE(2026,9,30),K257)-E257)/365.25,1)</f>
        <v>4.9</v>
      </c>
      <c r="G257" s="12"/>
      <c r="H257" s="16" t="n">
        <v>45808</v>
      </c>
      <c r="I257" s="12" t="s">
        <v>241</v>
      </c>
      <c r="J257" s="12" t="s">
        <v>163</v>
      </c>
      <c r="K257" s="17" t="n">
        <v>45973</v>
      </c>
      <c r="L257" s="12"/>
      <c r="M257" s="12" t="s">
        <v>70</v>
      </c>
      <c r="N257" s="12"/>
    </row>
    <row r="258" customFormat="false" ht="15" hidden="false" customHeight="false" outlineLevel="0" collapsed="false">
      <c r="A258" s="13" t="s">
        <v>319</v>
      </c>
      <c r="B258" s="12" t="s">
        <v>23</v>
      </c>
      <c r="C258" s="12" t="s">
        <v>20</v>
      </c>
      <c r="D258" s="13" t="s">
        <v>255</v>
      </c>
      <c r="E258" s="14" t="n">
        <v>43746</v>
      </c>
      <c r="F258" s="15" t="n">
        <f aca="false">ROUND((IF(K258="",DATE(2026,9,30),K258)-E258)/365.25,1)</f>
        <v>7</v>
      </c>
      <c r="G258" s="12"/>
      <c r="H258" s="16" t="n">
        <v>45808</v>
      </c>
      <c r="I258" s="12" t="s">
        <v>241</v>
      </c>
      <c r="J258" s="12" t="s">
        <v>47</v>
      </c>
      <c r="K258" s="12"/>
      <c r="L258" s="12"/>
      <c r="M258" s="12" t="s">
        <v>70</v>
      </c>
      <c r="N258" s="12"/>
    </row>
    <row r="259" customFormat="false" ht="15" hidden="false" customHeight="false" outlineLevel="0" collapsed="false">
      <c r="A259" s="13" t="s">
        <v>320</v>
      </c>
      <c r="B259" s="12" t="s">
        <v>23</v>
      </c>
      <c r="C259" s="12" t="s">
        <v>20</v>
      </c>
      <c r="D259" s="13" t="s">
        <v>255</v>
      </c>
      <c r="E259" s="14" t="n">
        <v>44131</v>
      </c>
      <c r="F259" s="15" t="n">
        <f aca="false">ROUND((IF(K259="",DATE(2026,9,30),K259)-E259)/365.25,1)</f>
        <v>5.1</v>
      </c>
      <c r="G259" s="12"/>
      <c r="H259" s="16" t="n">
        <v>45808</v>
      </c>
      <c r="I259" s="12" t="s">
        <v>241</v>
      </c>
      <c r="J259" s="12" t="s">
        <v>55</v>
      </c>
      <c r="K259" s="17" t="n">
        <v>46009</v>
      </c>
      <c r="L259" s="12"/>
      <c r="M259" s="12" t="s">
        <v>70</v>
      </c>
      <c r="N259" s="12"/>
    </row>
    <row r="260" customFormat="false" ht="15" hidden="false" customHeight="false" outlineLevel="0" collapsed="false">
      <c r="A260" s="13" t="s">
        <v>321</v>
      </c>
      <c r="B260" s="12" t="s">
        <v>23</v>
      </c>
      <c r="C260" s="12" t="s">
        <v>20</v>
      </c>
      <c r="D260" s="13" t="s">
        <v>245</v>
      </c>
      <c r="E260" s="14" t="n">
        <v>43704</v>
      </c>
      <c r="F260" s="15" t="n">
        <f aca="false">ROUND((IF(K260="",DATE(2026,9,30),K260)-E260)/365.25,1)</f>
        <v>7.1</v>
      </c>
      <c r="G260" s="12"/>
      <c r="H260" s="16" t="n">
        <v>45808</v>
      </c>
      <c r="I260" s="12" t="s">
        <v>241</v>
      </c>
      <c r="J260" s="12" t="s">
        <v>47</v>
      </c>
      <c r="K260" s="12"/>
      <c r="L260" s="12"/>
      <c r="M260" s="12" t="s">
        <v>70</v>
      </c>
      <c r="N260" s="12"/>
    </row>
    <row r="261" customFormat="false" ht="15" hidden="false" customHeight="false" outlineLevel="0" collapsed="false">
      <c r="A261" s="13" t="s">
        <v>322</v>
      </c>
      <c r="B261" s="12" t="s">
        <v>23</v>
      </c>
      <c r="C261" s="12" t="s">
        <v>20</v>
      </c>
      <c r="D261" s="13" t="s">
        <v>255</v>
      </c>
      <c r="E261" s="14" t="n">
        <v>44387</v>
      </c>
      <c r="F261" s="15" t="n">
        <f aca="false">ROUND((IF(K261="",DATE(2026,9,30),K261)-E261)/365.25,1)</f>
        <v>5.2</v>
      </c>
      <c r="G261" s="12"/>
      <c r="H261" s="16" t="n">
        <v>45808</v>
      </c>
      <c r="I261" s="12" t="s">
        <v>241</v>
      </c>
      <c r="J261" s="12" t="s">
        <v>47</v>
      </c>
      <c r="K261" s="12"/>
      <c r="L261" s="12"/>
      <c r="M261" s="12" t="s">
        <v>70</v>
      </c>
      <c r="N261" s="12"/>
    </row>
    <row r="262" customFormat="false" ht="15" hidden="false" customHeight="false" outlineLevel="0" collapsed="false">
      <c r="A262" s="13" t="s">
        <v>323</v>
      </c>
      <c r="B262" s="12" t="s">
        <v>23</v>
      </c>
      <c r="C262" s="12" t="s">
        <v>20</v>
      </c>
      <c r="D262" s="13" t="s">
        <v>245</v>
      </c>
      <c r="E262" s="14" t="n">
        <v>44768</v>
      </c>
      <c r="F262" s="15" t="n">
        <f aca="false">ROUND((IF(K262="",DATE(2026,9,30),K262)-E262)/365.25,1)</f>
        <v>4.2</v>
      </c>
      <c r="G262" s="12"/>
      <c r="H262" s="16" t="n">
        <v>45808</v>
      </c>
      <c r="I262" s="12" t="s">
        <v>241</v>
      </c>
      <c r="J262" s="12" t="s">
        <v>47</v>
      </c>
      <c r="K262" s="12"/>
      <c r="L262" s="12"/>
      <c r="M262" s="12" t="s">
        <v>70</v>
      </c>
      <c r="N262" s="12"/>
    </row>
    <row r="263" customFormat="false" ht="15" hidden="false" customHeight="false" outlineLevel="0" collapsed="false">
      <c r="A263" s="13" t="s">
        <v>324</v>
      </c>
      <c r="B263" s="12" t="s">
        <v>23</v>
      </c>
      <c r="C263" s="12" t="s">
        <v>20</v>
      </c>
      <c r="D263" s="13" t="s">
        <v>255</v>
      </c>
      <c r="E263" s="14" t="n">
        <v>44714</v>
      </c>
      <c r="F263" s="15" t="n">
        <f aca="false">ROUND((IF(K263="",DATE(2026,9,30),K263)-E263)/365.25,1)</f>
        <v>4.3</v>
      </c>
      <c r="G263" s="12"/>
      <c r="H263" s="16" t="n">
        <v>45808</v>
      </c>
      <c r="I263" s="12" t="s">
        <v>241</v>
      </c>
      <c r="J263" s="12" t="s">
        <v>47</v>
      </c>
      <c r="K263" s="12"/>
      <c r="L263" s="12"/>
      <c r="M263" s="12" t="s">
        <v>70</v>
      </c>
      <c r="N263" s="12"/>
    </row>
    <row r="264" customFormat="false" ht="15" hidden="false" customHeight="false" outlineLevel="0" collapsed="false">
      <c r="A264" s="13" t="s">
        <v>325</v>
      </c>
      <c r="B264" s="12" t="s">
        <v>23</v>
      </c>
      <c r="C264" s="12" t="s">
        <v>20</v>
      </c>
      <c r="D264" s="13" t="s">
        <v>240</v>
      </c>
      <c r="E264" s="14" t="n">
        <v>44254</v>
      </c>
      <c r="F264" s="15" t="n">
        <f aca="false">ROUND((IF(K264="",DATE(2026,9,30),K264)-E264)/365.25,1)</f>
        <v>5.6</v>
      </c>
      <c r="G264" s="12"/>
      <c r="H264" s="16" t="n">
        <v>45808</v>
      </c>
      <c r="I264" s="12" t="s">
        <v>241</v>
      </c>
      <c r="J264" s="12" t="s">
        <v>47</v>
      </c>
      <c r="K264" s="12"/>
      <c r="L264" s="12"/>
      <c r="M264" s="12" t="s">
        <v>70</v>
      </c>
      <c r="N264" s="12"/>
    </row>
    <row r="265" customFormat="false" ht="15" hidden="false" customHeight="false" outlineLevel="0" collapsed="false">
      <c r="A265" s="13" t="s">
        <v>326</v>
      </c>
      <c r="B265" s="12" t="s">
        <v>23</v>
      </c>
      <c r="C265" s="12" t="s">
        <v>20</v>
      </c>
      <c r="D265" s="13" t="s">
        <v>240</v>
      </c>
      <c r="E265" s="14" t="n">
        <v>43949</v>
      </c>
      <c r="F265" s="15" t="n">
        <f aca="false">ROUND((IF(K265="",DATE(2026,9,30),K265)-E265)/365.25,1)</f>
        <v>6.4</v>
      </c>
      <c r="G265" s="12"/>
      <c r="H265" s="16" t="n">
        <v>45808</v>
      </c>
      <c r="I265" s="12" t="s">
        <v>241</v>
      </c>
      <c r="J265" s="12" t="s">
        <v>47</v>
      </c>
      <c r="K265" s="12"/>
      <c r="L265" s="12"/>
      <c r="M265" s="12" t="s">
        <v>70</v>
      </c>
      <c r="N265" s="12"/>
    </row>
    <row r="266" customFormat="false" ht="15" hidden="false" customHeight="false" outlineLevel="0" collapsed="false">
      <c r="A266" s="13" t="s">
        <v>327</v>
      </c>
      <c r="B266" s="12" t="s">
        <v>23</v>
      </c>
      <c r="C266" s="12" t="s">
        <v>20</v>
      </c>
      <c r="D266" s="13" t="s">
        <v>245</v>
      </c>
      <c r="E266" s="14" t="n">
        <v>44353</v>
      </c>
      <c r="F266" s="15" t="n">
        <f aca="false">ROUND((IF(K266="",DATE(2026,9,30),K266)-E266)/365.25,1)</f>
        <v>5.3</v>
      </c>
      <c r="G266" s="12"/>
      <c r="H266" s="16" t="n">
        <v>45808</v>
      </c>
      <c r="I266" s="12" t="s">
        <v>241</v>
      </c>
      <c r="J266" s="12" t="s">
        <v>47</v>
      </c>
      <c r="K266" s="12"/>
      <c r="L266" s="12"/>
      <c r="M266" s="12" t="s">
        <v>70</v>
      </c>
      <c r="N266" s="12"/>
    </row>
    <row r="267" customFormat="false" ht="15" hidden="false" customHeight="false" outlineLevel="0" collapsed="false">
      <c r="A267" s="13" t="s">
        <v>328</v>
      </c>
      <c r="B267" s="12" t="s">
        <v>23</v>
      </c>
      <c r="C267" s="12" t="s">
        <v>20</v>
      </c>
      <c r="D267" s="13" t="s">
        <v>255</v>
      </c>
      <c r="E267" s="14" t="n">
        <v>45093</v>
      </c>
      <c r="F267" s="15" t="n">
        <f aca="false">ROUND((IF(K267="",DATE(2026,9,30),K267)-E267)/365.25,1)</f>
        <v>3.3</v>
      </c>
      <c r="G267" s="12"/>
      <c r="H267" s="16" t="n">
        <v>45808</v>
      </c>
      <c r="I267" s="12" t="s">
        <v>241</v>
      </c>
      <c r="J267" s="12" t="s">
        <v>47</v>
      </c>
      <c r="K267" s="12"/>
      <c r="L267" s="12"/>
      <c r="M267" s="12" t="s">
        <v>70</v>
      </c>
      <c r="N267" s="12"/>
    </row>
    <row r="268" customFormat="false" ht="15" hidden="false" customHeight="false" outlineLevel="0" collapsed="false">
      <c r="A268" s="13" t="s">
        <v>329</v>
      </c>
      <c r="B268" s="12" t="s">
        <v>23</v>
      </c>
      <c r="C268" s="12" t="s">
        <v>20</v>
      </c>
      <c r="D268" s="13" t="s">
        <v>245</v>
      </c>
      <c r="E268" s="14" t="n">
        <v>45101</v>
      </c>
      <c r="F268" s="15" t="n">
        <f aca="false">ROUND((IF(K268="",DATE(2026,9,30),K268)-E268)/365.25,1)</f>
        <v>2.6</v>
      </c>
      <c r="G268" s="12"/>
      <c r="H268" s="16" t="n">
        <v>45808</v>
      </c>
      <c r="I268" s="12" t="s">
        <v>241</v>
      </c>
      <c r="J268" s="12" t="s">
        <v>163</v>
      </c>
      <c r="K268" s="17" t="n">
        <v>46065</v>
      </c>
      <c r="L268" s="12"/>
      <c r="M268" s="12" t="s">
        <v>70</v>
      </c>
      <c r="N268" s="12"/>
    </row>
    <row r="269" customFormat="false" ht="15" hidden="false" customHeight="false" outlineLevel="0" collapsed="false">
      <c r="A269" s="13" t="s">
        <v>330</v>
      </c>
      <c r="B269" s="12" t="s">
        <v>23</v>
      </c>
      <c r="C269" s="12" t="s">
        <v>20</v>
      </c>
      <c r="D269" s="13" t="s">
        <v>240</v>
      </c>
      <c r="E269" s="14" t="n">
        <v>43705</v>
      </c>
      <c r="F269" s="15" t="n">
        <f aca="false">ROUND((IF(K269="",DATE(2026,9,30),K269)-E269)/365.25,1)</f>
        <v>7.1</v>
      </c>
      <c r="G269" s="12"/>
      <c r="H269" s="16" t="n">
        <v>45808</v>
      </c>
      <c r="I269" s="12" t="s">
        <v>241</v>
      </c>
      <c r="J269" s="12" t="s">
        <v>47</v>
      </c>
      <c r="K269" s="12"/>
      <c r="L269" s="12"/>
      <c r="M269" s="12" t="s">
        <v>70</v>
      </c>
      <c r="N269" s="12"/>
    </row>
    <row r="270" customFormat="false" ht="15" hidden="false" customHeight="false" outlineLevel="0" collapsed="false">
      <c r="A270" s="13" t="s">
        <v>331</v>
      </c>
      <c r="B270" s="12" t="s">
        <v>23</v>
      </c>
      <c r="C270" s="12" t="s">
        <v>20</v>
      </c>
      <c r="D270" s="13" t="s">
        <v>245</v>
      </c>
      <c r="E270" s="14" t="n">
        <v>44140</v>
      </c>
      <c r="F270" s="15" t="n">
        <f aca="false">ROUND((IF(K270="",DATE(2026,9,30),K270)-E270)/365.25,1)</f>
        <v>5.1</v>
      </c>
      <c r="G270" s="12"/>
      <c r="H270" s="16" t="n">
        <v>45808</v>
      </c>
      <c r="I270" s="12" t="s">
        <v>241</v>
      </c>
      <c r="J270" s="12" t="s">
        <v>55</v>
      </c>
      <c r="K270" s="17" t="n">
        <v>46007</v>
      </c>
      <c r="L270" s="12"/>
      <c r="M270" s="12" t="s">
        <v>70</v>
      </c>
      <c r="N270" s="12"/>
    </row>
    <row r="271" customFormat="false" ht="15" hidden="false" customHeight="false" outlineLevel="0" collapsed="false">
      <c r="A271" s="13" t="s">
        <v>332</v>
      </c>
      <c r="B271" s="12" t="s">
        <v>23</v>
      </c>
      <c r="C271" s="12" t="s">
        <v>20</v>
      </c>
      <c r="D271" s="13" t="s">
        <v>245</v>
      </c>
      <c r="E271" s="14" t="n">
        <v>44251</v>
      </c>
      <c r="F271" s="15" t="n">
        <f aca="false">ROUND((IF(K271="",DATE(2026,9,30),K271)-E271)/365.25,1)</f>
        <v>5.6</v>
      </c>
      <c r="G271" s="12"/>
      <c r="H271" s="16" t="n">
        <v>45808</v>
      </c>
      <c r="I271" s="12" t="s">
        <v>241</v>
      </c>
      <c r="J271" s="12" t="s">
        <v>47</v>
      </c>
      <c r="K271" s="12"/>
      <c r="L271" s="12"/>
      <c r="M271" s="12" t="s">
        <v>70</v>
      </c>
      <c r="N271" s="12"/>
    </row>
    <row r="272" customFormat="false" ht="15" hidden="false" customHeight="false" outlineLevel="0" collapsed="false">
      <c r="A272" s="13" t="s">
        <v>333</v>
      </c>
      <c r="B272" s="12" t="s">
        <v>23</v>
      </c>
      <c r="C272" s="12" t="s">
        <v>20</v>
      </c>
      <c r="D272" s="13" t="s">
        <v>240</v>
      </c>
      <c r="E272" s="14" t="n">
        <v>44847</v>
      </c>
      <c r="F272" s="15" t="n">
        <f aca="false">ROUND((IF(K272="",DATE(2026,9,30),K272)-E272)/365.25,1)</f>
        <v>4</v>
      </c>
      <c r="G272" s="12"/>
      <c r="H272" s="16" t="n">
        <v>45808</v>
      </c>
      <c r="I272" s="12" t="s">
        <v>241</v>
      </c>
      <c r="J272" s="12" t="s">
        <v>47</v>
      </c>
      <c r="K272" s="12"/>
      <c r="L272" s="12"/>
      <c r="M272" s="12" t="s">
        <v>70</v>
      </c>
      <c r="N272" s="12"/>
    </row>
    <row r="273" customFormat="false" ht="15" hidden="false" customHeight="false" outlineLevel="0" collapsed="false">
      <c r="A273" s="13" t="s">
        <v>334</v>
      </c>
      <c r="B273" s="12" t="s">
        <v>23</v>
      </c>
      <c r="C273" s="12" t="s">
        <v>20</v>
      </c>
      <c r="D273" s="13" t="s">
        <v>245</v>
      </c>
      <c r="E273" s="14" t="n">
        <v>44090</v>
      </c>
      <c r="F273" s="15" t="n">
        <f aca="false">ROUND((IF(K273="",DATE(2026,9,30),K273)-E273)/365.25,1)</f>
        <v>6</v>
      </c>
      <c r="G273" s="12"/>
      <c r="H273" s="16" t="n">
        <v>45808</v>
      </c>
      <c r="I273" s="12" t="s">
        <v>241</v>
      </c>
      <c r="J273" s="12" t="s">
        <v>47</v>
      </c>
      <c r="K273" s="12"/>
      <c r="L273" s="12"/>
      <c r="M273" s="12" t="s">
        <v>70</v>
      </c>
      <c r="N273" s="12"/>
    </row>
    <row r="274" customFormat="false" ht="15" hidden="false" customHeight="false" outlineLevel="0" collapsed="false">
      <c r="A274" s="13" t="s">
        <v>335</v>
      </c>
      <c r="B274" s="12" t="s">
        <v>23</v>
      </c>
      <c r="C274" s="12" t="s">
        <v>20</v>
      </c>
      <c r="D274" s="13" t="s">
        <v>245</v>
      </c>
      <c r="E274" s="14" t="n">
        <v>44118</v>
      </c>
      <c r="F274" s="15" t="n">
        <f aca="false">ROUND((IF(K274="",DATE(2026,9,30),K274)-E274)/365.25,1)</f>
        <v>6</v>
      </c>
      <c r="G274" s="12"/>
      <c r="H274" s="16" t="n">
        <v>45808</v>
      </c>
      <c r="I274" s="12" t="s">
        <v>241</v>
      </c>
      <c r="J274" s="12" t="s">
        <v>47</v>
      </c>
      <c r="K274" s="12"/>
      <c r="L274" s="12"/>
      <c r="M274" s="12" t="s">
        <v>70</v>
      </c>
      <c r="N274" s="12"/>
    </row>
    <row r="275" customFormat="false" ht="15" hidden="false" customHeight="false" outlineLevel="0" collapsed="false">
      <c r="A275" s="13" t="s">
        <v>336</v>
      </c>
      <c r="B275" s="12" t="s">
        <v>23</v>
      </c>
      <c r="C275" s="12" t="s">
        <v>20</v>
      </c>
      <c r="D275" s="13" t="s">
        <v>245</v>
      </c>
      <c r="E275" s="14" t="n">
        <v>43621</v>
      </c>
      <c r="F275" s="15" t="n">
        <f aca="false">ROUND((IF(K275="",DATE(2026,9,30),K275)-E275)/365.25,1)</f>
        <v>7.3</v>
      </c>
      <c r="G275" s="12"/>
      <c r="H275" s="16" t="n">
        <v>45808</v>
      </c>
      <c r="I275" s="12" t="s">
        <v>241</v>
      </c>
      <c r="J275" s="12" t="s">
        <v>47</v>
      </c>
      <c r="K275" s="12"/>
      <c r="L275" s="12"/>
      <c r="M275" s="12" t="s">
        <v>70</v>
      </c>
      <c r="N275" s="12" t="s">
        <v>337</v>
      </c>
    </row>
    <row r="276" customFormat="false" ht="15" hidden="false" customHeight="false" outlineLevel="0" collapsed="false">
      <c r="A276" s="13" t="s">
        <v>338</v>
      </c>
      <c r="B276" s="12" t="s">
        <v>23</v>
      </c>
      <c r="C276" s="12" t="s">
        <v>20</v>
      </c>
      <c r="D276" s="13" t="s">
        <v>240</v>
      </c>
      <c r="E276" s="14" t="n">
        <v>44436</v>
      </c>
      <c r="F276" s="15" t="n">
        <f aca="false">ROUND((IF(K276="",DATE(2026,9,30),K276)-E276)/365.25,1)</f>
        <v>5.1</v>
      </c>
      <c r="G276" s="12"/>
      <c r="H276" s="16" t="n">
        <v>45808</v>
      </c>
      <c r="I276" s="12" t="s">
        <v>241</v>
      </c>
      <c r="J276" s="12" t="s">
        <v>47</v>
      </c>
      <c r="K276" s="12"/>
      <c r="L276" s="12"/>
      <c r="M276" s="12" t="s">
        <v>70</v>
      </c>
      <c r="N276" s="12"/>
    </row>
    <row r="277" customFormat="false" ht="15" hidden="false" customHeight="false" outlineLevel="0" collapsed="false">
      <c r="A277" s="13" t="s">
        <v>339</v>
      </c>
      <c r="B277" s="12" t="s">
        <v>23</v>
      </c>
      <c r="C277" s="12" t="s">
        <v>20</v>
      </c>
      <c r="D277" s="13" t="s">
        <v>240</v>
      </c>
      <c r="E277" s="14" t="n">
        <v>44350</v>
      </c>
      <c r="F277" s="15" t="n">
        <f aca="false">ROUND((IF(K277="",DATE(2026,9,30),K277)-E277)/365.25,1)</f>
        <v>4.6</v>
      </c>
      <c r="G277" s="12"/>
      <c r="H277" s="16" t="n">
        <v>45808</v>
      </c>
      <c r="I277" s="12" t="s">
        <v>241</v>
      </c>
      <c r="J277" s="12" t="s">
        <v>55</v>
      </c>
      <c r="K277" s="17" t="n">
        <v>46013</v>
      </c>
      <c r="L277" s="12"/>
      <c r="M277" s="12" t="s">
        <v>70</v>
      </c>
      <c r="N277" s="12"/>
    </row>
    <row r="278" customFormat="false" ht="15" hidden="false" customHeight="false" outlineLevel="0" collapsed="false">
      <c r="A278" s="13" t="s">
        <v>340</v>
      </c>
      <c r="B278" s="12" t="s">
        <v>23</v>
      </c>
      <c r="C278" s="12" t="s">
        <v>20</v>
      </c>
      <c r="D278" s="13" t="s">
        <v>255</v>
      </c>
      <c r="E278" s="14" t="n">
        <v>45292</v>
      </c>
      <c r="F278" s="15" t="n">
        <f aca="false">ROUND((IF(K278="",DATE(2026,9,30),K278)-E278)/365.25,1)</f>
        <v>2.7</v>
      </c>
      <c r="G278" s="12"/>
      <c r="H278" s="16" t="n">
        <v>45808</v>
      </c>
      <c r="I278" s="12" t="s">
        <v>241</v>
      </c>
      <c r="J278" s="12" t="s">
        <v>47</v>
      </c>
      <c r="K278" s="12"/>
      <c r="L278" s="12"/>
      <c r="M278" s="12" t="s">
        <v>70</v>
      </c>
      <c r="N278" s="12"/>
    </row>
    <row r="279" customFormat="false" ht="15" hidden="false" customHeight="false" outlineLevel="0" collapsed="false">
      <c r="A279" s="13" t="s">
        <v>341</v>
      </c>
      <c r="B279" s="12" t="s">
        <v>23</v>
      </c>
      <c r="C279" s="12" t="s">
        <v>20</v>
      </c>
      <c r="D279" s="13" t="s">
        <v>240</v>
      </c>
      <c r="E279" s="14" t="n">
        <v>44704</v>
      </c>
      <c r="F279" s="15" t="n">
        <f aca="false">ROUND((IF(K279="",DATE(2026,9,30),K279)-E279)/365.25,1)</f>
        <v>4.4</v>
      </c>
      <c r="G279" s="12"/>
      <c r="H279" s="16" t="n">
        <v>45808</v>
      </c>
      <c r="I279" s="12" t="s">
        <v>241</v>
      </c>
      <c r="J279" s="12" t="s">
        <v>47</v>
      </c>
      <c r="K279" s="12"/>
      <c r="L279" s="12"/>
      <c r="M279" s="12" t="s">
        <v>70</v>
      </c>
      <c r="N279" s="12"/>
    </row>
    <row r="280" customFormat="false" ht="15" hidden="false" customHeight="false" outlineLevel="0" collapsed="false">
      <c r="A280" s="13" t="s">
        <v>342</v>
      </c>
      <c r="B280" s="12" t="s">
        <v>23</v>
      </c>
      <c r="C280" s="12" t="s">
        <v>20</v>
      </c>
      <c r="D280" s="13" t="s">
        <v>240</v>
      </c>
      <c r="E280" s="14" t="n">
        <v>43948</v>
      </c>
      <c r="F280" s="15" t="n">
        <f aca="false">ROUND((IF(K280="",DATE(2026,9,30),K280)-E280)/365.25,1)</f>
        <v>6.4</v>
      </c>
      <c r="G280" s="12"/>
      <c r="H280" s="16" t="n">
        <v>45808</v>
      </c>
      <c r="I280" s="12" t="s">
        <v>241</v>
      </c>
      <c r="J280" s="12" t="s">
        <v>47</v>
      </c>
      <c r="K280" s="12"/>
      <c r="L280" s="12"/>
      <c r="M280" s="12" t="s">
        <v>70</v>
      </c>
      <c r="N280" s="12"/>
    </row>
    <row r="281" customFormat="false" ht="15" hidden="false" customHeight="false" outlineLevel="0" collapsed="false">
      <c r="A281" s="13" t="s">
        <v>343</v>
      </c>
      <c r="B281" s="12" t="s">
        <v>23</v>
      </c>
      <c r="C281" s="12" t="s">
        <v>20</v>
      </c>
      <c r="D281" s="13" t="s">
        <v>240</v>
      </c>
      <c r="E281" s="14" t="n">
        <v>45094</v>
      </c>
      <c r="F281" s="15" t="n">
        <f aca="false">ROUND((IF(K281="",DATE(2026,9,30),K281)-E281)/365.25,1)</f>
        <v>3.3</v>
      </c>
      <c r="G281" s="12"/>
      <c r="H281" s="16" t="n">
        <v>45808</v>
      </c>
      <c r="I281" s="12" t="s">
        <v>241</v>
      </c>
      <c r="J281" s="12" t="s">
        <v>47</v>
      </c>
      <c r="K281" s="12"/>
      <c r="L281" s="12"/>
      <c r="M281" s="12" t="s">
        <v>70</v>
      </c>
      <c r="N281" s="12"/>
    </row>
    <row r="282" customFormat="false" ht="15" hidden="false" customHeight="false" outlineLevel="0" collapsed="false">
      <c r="A282" s="13" t="s">
        <v>344</v>
      </c>
      <c r="B282" s="12" t="s">
        <v>23</v>
      </c>
      <c r="C282" s="12" t="s">
        <v>20</v>
      </c>
      <c r="D282" s="13" t="s">
        <v>245</v>
      </c>
      <c r="E282" s="14" t="n">
        <v>45187</v>
      </c>
      <c r="F282" s="15" t="n">
        <f aca="false">ROUND((IF(K282="",DATE(2026,9,30),K282)-E282)/365.25,1)</f>
        <v>1.7</v>
      </c>
      <c r="G282" s="12"/>
      <c r="H282" s="16" t="n">
        <v>45808</v>
      </c>
      <c r="I282" s="12" t="s">
        <v>241</v>
      </c>
      <c r="J282" s="12" t="s">
        <v>42</v>
      </c>
      <c r="K282" s="17" t="n">
        <v>45811</v>
      </c>
      <c r="L282" s="12"/>
      <c r="M282" s="12" t="s">
        <v>70</v>
      </c>
      <c r="N282" s="12"/>
    </row>
    <row r="283" customFormat="false" ht="15" hidden="false" customHeight="false" outlineLevel="0" collapsed="false">
      <c r="A283" s="13" t="s">
        <v>345</v>
      </c>
      <c r="B283" s="12" t="s">
        <v>23</v>
      </c>
      <c r="C283" s="12" t="s">
        <v>20</v>
      </c>
      <c r="D283" s="13" t="s">
        <v>255</v>
      </c>
      <c r="E283" s="14" t="n">
        <v>44087</v>
      </c>
      <c r="F283" s="15" t="n">
        <f aca="false">ROUND((IF(K283="",DATE(2026,9,30),K283)-E283)/365.25,1)</f>
        <v>6</v>
      </c>
      <c r="G283" s="12"/>
      <c r="H283" s="16" t="n">
        <v>45808</v>
      </c>
      <c r="I283" s="12" t="s">
        <v>241</v>
      </c>
      <c r="J283" s="12" t="s">
        <v>47</v>
      </c>
      <c r="K283" s="12"/>
      <c r="L283" s="12"/>
      <c r="M283" s="12" t="s">
        <v>70</v>
      </c>
      <c r="N283" s="12"/>
    </row>
    <row r="284" customFormat="false" ht="15" hidden="false" customHeight="false" outlineLevel="0" collapsed="false">
      <c r="A284" s="13" t="s">
        <v>346</v>
      </c>
      <c r="B284" s="12" t="s">
        <v>23</v>
      </c>
      <c r="C284" s="12" t="s">
        <v>20</v>
      </c>
      <c r="D284" s="13" t="s">
        <v>255</v>
      </c>
      <c r="E284" s="14" t="n">
        <v>44411</v>
      </c>
      <c r="F284" s="15" t="n">
        <f aca="false">ROUND((IF(K284="",DATE(2026,9,30),K284)-E284)/365.25,1)</f>
        <v>5.2</v>
      </c>
      <c r="G284" s="12"/>
      <c r="H284" s="16" t="n">
        <v>45808</v>
      </c>
      <c r="I284" s="12" t="s">
        <v>241</v>
      </c>
      <c r="J284" s="12" t="s">
        <v>47</v>
      </c>
      <c r="K284" s="12"/>
      <c r="L284" s="12"/>
      <c r="M284" s="12" t="s">
        <v>70</v>
      </c>
      <c r="N284" s="12"/>
    </row>
    <row r="285" customFormat="false" ht="15" hidden="false" customHeight="false" outlineLevel="0" collapsed="false">
      <c r="A285" s="13" t="s">
        <v>347</v>
      </c>
      <c r="B285" s="12" t="s">
        <v>23</v>
      </c>
      <c r="C285" s="12" t="s">
        <v>20</v>
      </c>
      <c r="D285" s="13" t="s">
        <v>240</v>
      </c>
      <c r="E285" s="14" t="n">
        <v>45298</v>
      </c>
      <c r="F285" s="15" t="n">
        <f aca="false">ROUND((IF(K285="",DATE(2026,9,30),K285)-E285)/365.25,1)</f>
        <v>2.7</v>
      </c>
      <c r="G285" s="12"/>
      <c r="H285" s="16" t="n">
        <v>45808</v>
      </c>
      <c r="I285" s="12" t="s">
        <v>241</v>
      </c>
      <c r="J285" s="12" t="s">
        <v>47</v>
      </c>
      <c r="K285" s="12"/>
      <c r="L285" s="12"/>
      <c r="M285" s="12" t="s">
        <v>70</v>
      </c>
      <c r="N285" s="12"/>
    </row>
    <row r="286" customFormat="false" ht="15" hidden="false" customHeight="false" outlineLevel="0" collapsed="false">
      <c r="A286" s="13" t="s">
        <v>348</v>
      </c>
      <c r="B286" s="12" t="s">
        <v>23</v>
      </c>
      <c r="C286" s="12" t="s">
        <v>20</v>
      </c>
      <c r="D286" s="13" t="s">
        <v>255</v>
      </c>
      <c r="E286" s="14" t="n">
        <v>45086</v>
      </c>
      <c r="F286" s="15" t="n">
        <f aca="false">ROUND((IF(K286="",DATE(2026,9,30),K286)-E286)/365.25,1)</f>
        <v>3.3</v>
      </c>
      <c r="G286" s="12"/>
      <c r="H286" s="16" t="n">
        <v>45808</v>
      </c>
      <c r="I286" s="12" t="s">
        <v>241</v>
      </c>
      <c r="J286" s="12" t="s">
        <v>47</v>
      </c>
      <c r="K286" s="12"/>
      <c r="L286" s="12"/>
      <c r="M286" s="12" t="s">
        <v>70</v>
      </c>
      <c r="N286" s="12"/>
    </row>
    <row r="287" customFormat="false" ht="15" hidden="false" customHeight="false" outlineLevel="0" collapsed="false">
      <c r="A287" s="13" t="s">
        <v>349</v>
      </c>
      <c r="B287" s="12" t="s">
        <v>23</v>
      </c>
      <c r="C287" s="12" t="s">
        <v>20</v>
      </c>
      <c r="D287" s="13" t="s">
        <v>255</v>
      </c>
      <c r="E287" s="14" t="n">
        <v>44853</v>
      </c>
      <c r="F287" s="15" t="n">
        <f aca="false">ROUND((IF(K287="",DATE(2026,9,30),K287)-E287)/365.25,1)</f>
        <v>3.9</v>
      </c>
      <c r="G287" s="12"/>
      <c r="H287" s="16" t="n">
        <v>45808</v>
      </c>
      <c r="I287" s="12" t="s">
        <v>241</v>
      </c>
      <c r="J287" s="12" t="s">
        <v>47</v>
      </c>
      <c r="K287" s="12"/>
      <c r="L287" s="12"/>
      <c r="M287" s="12" t="s">
        <v>70</v>
      </c>
      <c r="N287" s="12"/>
    </row>
    <row r="288" customFormat="false" ht="15" hidden="false" customHeight="false" outlineLevel="0" collapsed="false">
      <c r="A288" s="13" t="s">
        <v>350</v>
      </c>
      <c r="B288" s="12" t="s">
        <v>23</v>
      </c>
      <c r="C288" s="12" t="s">
        <v>20</v>
      </c>
      <c r="D288" s="13" t="s">
        <v>255</v>
      </c>
      <c r="E288" s="14" t="n">
        <v>44745</v>
      </c>
      <c r="F288" s="15" t="n">
        <f aca="false">ROUND((IF(K288="",DATE(2026,9,30),K288)-E288)/365.25,1)</f>
        <v>3</v>
      </c>
      <c r="G288" s="12"/>
      <c r="H288" s="16" t="n">
        <v>45808</v>
      </c>
      <c r="I288" s="12" t="s">
        <v>241</v>
      </c>
      <c r="J288" s="12" t="s">
        <v>42</v>
      </c>
      <c r="K288" s="17" t="n">
        <v>45845</v>
      </c>
      <c r="L288" s="12"/>
      <c r="M288" s="12" t="s">
        <v>70</v>
      </c>
      <c r="N288" s="12"/>
    </row>
    <row r="289" customFormat="false" ht="15" hidden="false" customHeight="false" outlineLevel="0" collapsed="false">
      <c r="A289" s="13" t="s">
        <v>351</v>
      </c>
      <c r="B289" s="12" t="s">
        <v>23</v>
      </c>
      <c r="C289" s="12" t="s">
        <v>20</v>
      </c>
      <c r="D289" s="13" t="s">
        <v>240</v>
      </c>
      <c r="E289" s="14" t="n">
        <v>45040</v>
      </c>
      <c r="F289" s="15" t="n">
        <f aca="false">ROUND((IF(K289="",DATE(2026,9,30),K289)-E289)/365.25,1)</f>
        <v>3.4</v>
      </c>
      <c r="G289" s="12"/>
      <c r="H289" s="16" t="n">
        <v>45808</v>
      </c>
      <c r="I289" s="12" t="s">
        <v>241</v>
      </c>
      <c r="J289" s="12" t="s">
        <v>47</v>
      </c>
      <c r="K289" s="12"/>
      <c r="L289" s="12"/>
      <c r="M289" s="12" t="s">
        <v>70</v>
      </c>
      <c r="N289" s="12"/>
    </row>
    <row r="290" customFormat="false" ht="15" hidden="false" customHeight="false" outlineLevel="0" collapsed="false">
      <c r="A290" s="13" t="s">
        <v>352</v>
      </c>
      <c r="B290" s="12" t="s">
        <v>23</v>
      </c>
      <c r="C290" s="12" t="s">
        <v>20</v>
      </c>
      <c r="D290" s="13" t="s">
        <v>240</v>
      </c>
      <c r="E290" s="14" t="n">
        <v>44267</v>
      </c>
      <c r="F290" s="15" t="n">
        <f aca="false">ROUND((IF(K290="",DATE(2026,9,30),K290)-E290)/365.25,1)</f>
        <v>4.8</v>
      </c>
      <c r="G290" s="12"/>
      <c r="H290" s="16" t="n">
        <v>45808</v>
      </c>
      <c r="I290" s="12" t="s">
        <v>241</v>
      </c>
      <c r="J290" s="12" t="s">
        <v>55</v>
      </c>
      <c r="K290" s="17" t="n">
        <v>46020</v>
      </c>
      <c r="L290" s="12"/>
      <c r="M290" s="12" t="s">
        <v>70</v>
      </c>
      <c r="N290" s="12"/>
    </row>
    <row r="291" customFormat="false" ht="15" hidden="false" customHeight="false" outlineLevel="0" collapsed="false">
      <c r="A291" s="13" t="s">
        <v>353</v>
      </c>
      <c r="B291" s="12" t="s">
        <v>23</v>
      </c>
      <c r="C291" s="12" t="s">
        <v>20</v>
      </c>
      <c r="D291" s="13" t="s">
        <v>255</v>
      </c>
      <c r="E291" s="14" t="n">
        <v>44236</v>
      </c>
      <c r="F291" s="15" t="n">
        <f aca="false">ROUND((IF(K291="",DATE(2026,9,30),K291)-E291)/365.25,1)</f>
        <v>4.5</v>
      </c>
      <c r="G291" s="12"/>
      <c r="H291" s="16" t="n">
        <v>45808</v>
      </c>
      <c r="I291" s="12" t="s">
        <v>241</v>
      </c>
      <c r="J291" s="12" t="s">
        <v>42</v>
      </c>
      <c r="K291" s="17" t="n">
        <v>45868</v>
      </c>
      <c r="L291" s="12"/>
      <c r="M291" s="12" t="s">
        <v>70</v>
      </c>
      <c r="N291" s="12"/>
    </row>
    <row r="292" customFormat="false" ht="15" hidden="false" customHeight="false" outlineLevel="0" collapsed="false">
      <c r="A292" s="13" t="s">
        <v>354</v>
      </c>
      <c r="B292" s="12" t="s">
        <v>23</v>
      </c>
      <c r="C292" s="12" t="s">
        <v>19</v>
      </c>
      <c r="D292" s="13" t="s">
        <v>240</v>
      </c>
      <c r="E292" s="16" t="n">
        <v>45820</v>
      </c>
      <c r="F292" s="15" t="n">
        <f aca="false">ROUND((IF(K292="",DATE(2026,9,30),K292)-E292)/365.25,1)</f>
        <v>0.4</v>
      </c>
      <c r="G292" s="12"/>
      <c r="H292" s="16" t="n">
        <v>45820</v>
      </c>
      <c r="I292" s="12" t="s">
        <v>49</v>
      </c>
      <c r="J292" s="12" t="s">
        <v>42</v>
      </c>
      <c r="K292" s="17" t="n">
        <v>45960</v>
      </c>
      <c r="L292" s="13" t="s">
        <v>302</v>
      </c>
      <c r="M292" s="12" t="s">
        <v>70</v>
      </c>
      <c r="N292" s="12"/>
    </row>
    <row r="293" customFormat="false" ht="15" hidden="false" customHeight="false" outlineLevel="0" collapsed="false">
      <c r="A293" s="13" t="s">
        <v>355</v>
      </c>
      <c r="B293" s="12" t="s">
        <v>23</v>
      </c>
      <c r="C293" s="12" t="s">
        <v>19</v>
      </c>
      <c r="D293" s="13" t="s">
        <v>240</v>
      </c>
      <c r="E293" s="16" t="n">
        <v>45825</v>
      </c>
      <c r="F293" s="15" t="n">
        <f aca="false">ROUND((IF(K293="",DATE(2026,9,30),K293)-E293)/365.25,1)</f>
        <v>0.4</v>
      </c>
      <c r="G293" s="12"/>
      <c r="H293" s="16" t="n">
        <v>45825</v>
      </c>
      <c r="I293" s="12" t="s">
        <v>49</v>
      </c>
      <c r="J293" s="12" t="s">
        <v>42</v>
      </c>
      <c r="K293" s="17" t="n">
        <v>45955</v>
      </c>
      <c r="L293" s="13" t="s">
        <v>338</v>
      </c>
      <c r="M293" s="12" t="s">
        <v>70</v>
      </c>
      <c r="N293" s="12"/>
    </row>
    <row r="294" customFormat="false" ht="15" hidden="false" customHeight="false" outlineLevel="0" collapsed="false">
      <c r="A294" s="13" t="s">
        <v>356</v>
      </c>
      <c r="B294" s="12" t="s">
        <v>23</v>
      </c>
      <c r="C294" s="12" t="s">
        <v>19</v>
      </c>
      <c r="D294" s="13" t="s">
        <v>245</v>
      </c>
      <c r="E294" s="16" t="n">
        <v>45826</v>
      </c>
      <c r="F294" s="15" t="n">
        <f aca="false">ROUND((IF(K294="",DATE(2026,9,30),K294)-E294)/365.25,1)</f>
        <v>0</v>
      </c>
      <c r="G294" s="12"/>
      <c r="H294" s="16" t="n">
        <v>45826</v>
      </c>
      <c r="I294" s="12" t="s">
        <v>49</v>
      </c>
      <c r="J294" s="12" t="s">
        <v>42</v>
      </c>
      <c r="K294" s="17" t="n">
        <v>45830</v>
      </c>
      <c r="L294" s="13" t="s">
        <v>300</v>
      </c>
      <c r="M294" s="12" t="s">
        <v>70</v>
      </c>
      <c r="N294" s="12"/>
    </row>
    <row r="295" customFormat="false" ht="15" hidden="false" customHeight="false" outlineLevel="0" collapsed="false">
      <c r="A295" s="13" t="s">
        <v>357</v>
      </c>
      <c r="B295" s="12" t="s">
        <v>23</v>
      </c>
      <c r="C295" s="12" t="s">
        <v>20</v>
      </c>
      <c r="D295" s="13" t="s">
        <v>245</v>
      </c>
      <c r="E295" s="16" t="n">
        <v>45826</v>
      </c>
      <c r="F295" s="15" t="n">
        <f aca="false">ROUND((IF(K295="",DATE(2026,9,30),K295)-E295)/365.25,1)</f>
        <v>0</v>
      </c>
      <c r="G295" s="12"/>
      <c r="H295" s="16" t="n">
        <v>45826</v>
      </c>
      <c r="I295" s="12" t="s">
        <v>49</v>
      </c>
      <c r="J295" s="12" t="s">
        <v>42</v>
      </c>
      <c r="K295" s="17" t="n">
        <v>45831</v>
      </c>
      <c r="L295" s="13" t="s">
        <v>300</v>
      </c>
      <c r="M295" s="12" t="s">
        <v>70</v>
      </c>
      <c r="N295" s="12"/>
    </row>
    <row r="296" customFormat="false" ht="15" hidden="false" customHeight="false" outlineLevel="0" collapsed="false">
      <c r="A296" s="13" t="s">
        <v>358</v>
      </c>
      <c r="B296" s="12" t="s">
        <v>23</v>
      </c>
      <c r="C296" s="12" t="s">
        <v>19</v>
      </c>
      <c r="D296" s="13" t="s">
        <v>245</v>
      </c>
      <c r="E296" s="16" t="n">
        <v>45828</v>
      </c>
      <c r="F296" s="15" t="n">
        <f aca="false">ROUND((IF(K296="",DATE(2026,9,30),K296)-E296)/365.25,1)</f>
        <v>1.3</v>
      </c>
      <c r="G296" s="12"/>
      <c r="H296" s="16" t="n">
        <v>45828</v>
      </c>
      <c r="I296" s="12" t="s">
        <v>49</v>
      </c>
      <c r="J296" s="12" t="s">
        <v>47</v>
      </c>
      <c r="K296" s="12"/>
      <c r="L296" s="13" t="s">
        <v>318</v>
      </c>
      <c r="M296" s="12" t="s">
        <v>70</v>
      </c>
      <c r="N296" s="12"/>
    </row>
    <row r="297" customFormat="false" ht="15" hidden="false" customHeight="false" outlineLevel="0" collapsed="false">
      <c r="A297" s="13" t="s">
        <v>359</v>
      </c>
      <c r="B297" s="12" t="s">
        <v>23</v>
      </c>
      <c r="C297" s="12" t="s">
        <v>19</v>
      </c>
      <c r="D297" s="13" t="s">
        <v>255</v>
      </c>
      <c r="E297" s="16" t="n">
        <v>45833</v>
      </c>
      <c r="F297" s="15" t="n">
        <f aca="false">ROUND((IF(K297="",DATE(2026,9,30),K297)-E297)/365.25,1)</f>
        <v>1.3</v>
      </c>
      <c r="G297" s="12"/>
      <c r="H297" s="16" t="n">
        <v>45833</v>
      </c>
      <c r="I297" s="12" t="s">
        <v>49</v>
      </c>
      <c r="J297" s="12" t="s">
        <v>47</v>
      </c>
      <c r="K297" s="12"/>
      <c r="L297" s="13" t="s">
        <v>346</v>
      </c>
      <c r="M297" s="12" t="s">
        <v>70</v>
      </c>
      <c r="N297" s="12"/>
    </row>
    <row r="298" customFormat="false" ht="15" hidden="false" customHeight="false" outlineLevel="0" collapsed="false">
      <c r="A298" s="13" t="s">
        <v>360</v>
      </c>
      <c r="B298" s="12" t="s">
        <v>23</v>
      </c>
      <c r="C298" s="12" t="s">
        <v>19</v>
      </c>
      <c r="D298" s="13" t="s">
        <v>240</v>
      </c>
      <c r="E298" s="16" t="n">
        <v>45880</v>
      </c>
      <c r="F298" s="15" t="n">
        <f aca="false">ROUND((IF(K298="",DATE(2026,9,30),K298)-E298)/365.25,1)</f>
        <v>0</v>
      </c>
      <c r="G298" s="12"/>
      <c r="H298" s="16" t="n">
        <v>45880</v>
      </c>
      <c r="I298" s="12" t="s">
        <v>49</v>
      </c>
      <c r="J298" s="12" t="s">
        <v>163</v>
      </c>
      <c r="K298" s="17" t="n">
        <v>45882</v>
      </c>
      <c r="L298" s="13" t="s">
        <v>282</v>
      </c>
      <c r="M298" s="12" t="s">
        <v>70</v>
      </c>
      <c r="N298" s="12"/>
    </row>
    <row r="299" customFormat="false" ht="15" hidden="false" customHeight="false" outlineLevel="0" collapsed="false">
      <c r="A299" s="13" t="s">
        <v>361</v>
      </c>
      <c r="B299" s="12" t="s">
        <v>23</v>
      </c>
      <c r="C299" s="12" t="s">
        <v>19</v>
      </c>
      <c r="D299" s="13" t="s">
        <v>240</v>
      </c>
      <c r="E299" s="16" t="n">
        <v>45880</v>
      </c>
      <c r="F299" s="15" t="n">
        <f aca="false">ROUND((IF(K299="",DATE(2026,9,30),K299)-E299)/365.25,1)</f>
        <v>0.1</v>
      </c>
      <c r="G299" s="12"/>
      <c r="H299" s="16" t="n">
        <v>45880</v>
      </c>
      <c r="I299" s="12" t="s">
        <v>49</v>
      </c>
      <c r="J299" s="12" t="s">
        <v>42</v>
      </c>
      <c r="K299" s="17" t="n">
        <v>45918</v>
      </c>
      <c r="L299" s="13" t="s">
        <v>282</v>
      </c>
      <c r="M299" s="12" t="s">
        <v>70</v>
      </c>
      <c r="N299" s="12"/>
    </row>
    <row r="300" customFormat="false" ht="15" hidden="false" customHeight="false" outlineLevel="0" collapsed="false">
      <c r="A300" s="13" t="s">
        <v>362</v>
      </c>
      <c r="B300" s="12" t="s">
        <v>23</v>
      </c>
      <c r="C300" s="12" t="s">
        <v>19</v>
      </c>
      <c r="D300" s="13" t="s">
        <v>245</v>
      </c>
      <c r="E300" s="16" t="n">
        <v>45883</v>
      </c>
      <c r="F300" s="15" t="n">
        <f aca="false">ROUND((IF(K300="",DATE(2026,9,30),K300)-E300)/365.25,1)</f>
        <v>0.1</v>
      </c>
      <c r="G300" s="12"/>
      <c r="H300" s="16" t="n">
        <v>45883</v>
      </c>
      <c r="I300" s="12" t="s">
        <v>49</v>
      </c>
      <c r="J300" s="12" t="s">
        <v>42</v>
      </c>
      <c r="K300" s="17" t="n">
        <v>45916</v>
      </c>
      <c r="L300" s="13" t="s">
        <v>336</v>
      </c>
      <c r="M300" s="12" t="s">
        <v>70</v>
      </c>
      <c r="N300" s="12"/>
    </row>
    <row r="301" customFormat="false" ht="15" hidden="false" customHeight="false" outlineLevel="0" collapsed="false">
      <c r="A301" s="13" t="s">
        <v>363</v>
      </c>
      <c r="B301" s="12" t="s">
        <v>23</v>
      </c>
      <c r="C301" s="12" t="s">
        <v>19</v>
      </c>
      <c r="D301" s="13" t="s">
        <v>245</v>
      </c>
      <c r="E301" s="16" t="n">
        <v>45883</v>
      </c>
      <c r="F301" s="15" t="n">
        <f aca="false">ROUND((IF(K301="",DATE(2026,9,30),K301)-E301)/365.25,1)</f>
        <v>0</v>
      </c>
      <c r="G301" s="12"/>
      <c r="H301" s="16" t="n">
        <v>45883</v>
      </c>
      <c r="I301" s="12" t="s">
        <v>49</v>
      </c>
      <c r="J301" s="12" t="s">
        <v>42</v>
      </c>
      <c r="K301" s="17" t="n">
        <v>45897</v>
      </c>
      <c r="L301" s="13" t="s">
        <v>336</v>
      </c>
      <c r="M301" s="12" t="s">
        <v>70</v>
      </c>
      <c r="N301" s="12"/>
    </row>
    <row r="302" customFormat="false" ht="15" hidden="false" customHeight="false" outlineLevel="0" collapsed="false">
      <c r="A302" s="13" t="s">
        <v>364</v>
      </c>
      <c r="B302" s="12" t="s">
        <v>23</v>
      </c>
      <c r="C302" s="12" t="s">
        <v>19</v>
      </c>
      <c r="D302" s="13" t="s">
        <v>240</v>
      </c>
      <c r="E302" s="16" t="n">
        <v>45883</v>
      </c>
      <c r="F302" s="15" t="n">
        <f aca="false">ROUND((IF(K302="",DATE(2026,9,30),K302)-E302)/365.25,1)</f>
        <v>1.1</v>
      </c>
      <c r="G302" s="12"/>
      <c r="H302" s="16" t="n">
        <v>45883</v>
      </c>
      <c r="I302" s="12" t="s">
        <v>49</v>
      </c>
      <c r="J302" s="12" t="s">
        <v>47</v>
      </c>
      <c r="K302" s="12"/>
      <c r="L302" s="13" t="s">
        <v>326</v>
      </c>
      <c r="M302" s="12" t="s">
        <v>70</v>
      </c>
      <c r="N302" s="12"/>
    </row>
    <row r="303" customFormat="false" ht="15" hidden="false" customHeight="false" outlineLevel="0" collapsed="false">
      <c r="A303" s="13" t="s">
        <v>365</v>
      </c>
      <c r="B303" s="12" t="s">
        <v>23</v>
      </c>
      <c r="C303" s="12" t="s">
        <v>19</v>
      </c>
      <c r="D303" s="13" t="s">
        <v>240</v>
      </c>
      <c r="E303" s="16" t="n">
        <v>45883</v>
      </c>
      <c r="F303" s="15" t="n">
        <f aca="false">ROUND((IF(K303="",DATE(2026,9,30),K303)-E303)/365.25,1)</f>
        <v>1.1</v>
      </c>
      <c r="G303" s="12"/>
      <c r="H303" s="16" t="n">
        <v>45883</v>
      </c>
      <c r="I303" s="12" t="s">
        <v>49</v>
      </c>
      <c r="J303" s="12" t="s">
        <v>47</v>
      </c>
      <c r="K303" s="12"/>
      <c r="L303" s="13" t="s">
        <v>326</v>
      </c>
      <c r="M303" s="12" t="s">
        <v>70</v>
      </c>
      <c r="N303" s="12"/>
    </row>
    <row r="304" customFormat="false" ht="15" hidden="false" customHeight="false" outlineLevel="0" collapsed="false">
      <c r="A304" s="13" t="s">
        <v>366</v>
      </c>
      <c r="B304" s="12" t="s">
        <v>23</v>
      </c>
      <c r="C304" s="12" t="s">
        <v>20</v>
      </c>
      <c r="D304" s="13" t="s">
        <v>245</v>
      </c>
      <c r="E304" s="16" t="n">
        <v>45883</v>
      </c>
      <c r="F304" s="15" t="n">
        <f aca="false">ROUND((IF(K304="",DATE(2026,9,30),K304)-E304)/365.25,1)</f>
        <v>0.1</v>
      </c>
      <c r="G304" s="12"/>
      <c r="H304" s="16" t="n">
        <v>45883</v>
      </c>
      <c r="I304" s="12" t="s">
        <v>49</v>
      </c>
      <c r="J304" s="12" t="s">
        <v>42</v>
      </c>
      <c r="K304" s="17" t="n">
        <v>45932</v>
      </c>
      <c r="L304" s="13" t="s">
        <v>321</v>
      </c>
      <c r="M304" s="12" t="s">
        <v>70</v>
      </c>
      <c r="N304" s="12"/>
    </row>
    <row r="305" customFormat="false" ht="15" hidden="false" customHeight="false" outlineLevel="0" collapsed="false">
      <c r="A305" s="13" t="s">
        <v>367</v>
      </c>
      <c r="B305" s="12" t="s">
        <v>23</v>
      </c>
      <c r="C305" s="12" t="s">
        <v>20</v>
      </c>
      <c r="D305" s="13" t="s">
        <v>245</v>
      </c>
      <c r="E305" s="16" t="n">
        <v>45883</v>
      </c>
      <c r="F305" s="15" t="n">
        <f aca="false">ROUND((IF(K305="",DATE(2026,9,30),K305)-E305)/365.25,1)</f>
        <v>1.1</v>
      </c>
      <c r="G305" s="12"/>
      <c r="H305" s="16" t="n">
        <v>45883</v>
      </c>
      <c r="I305" s="12" t="s">
        <v>49</v>
      </c>
      <c r="J305" s="12" t="s">
        <v>47</v>
      </c>
      <c r="K305" s="12"/>
      <c r="L305" s="13" t="s">
        <v>321</v>
      </c>
      <c r="M305" s="12" t="s">
        <v>70</v>
      </c>
      <c r="N305" s="12"/>
    </row>
    <row r="306" customFormat="false" ht="15" hidden="false" customHeight="false" outlineLevel="0" collapsed="false">
      <c r="A306" s="13" t="s">
        <v>368</v>
      </c>
      <c r="B306" s="12" t="s">
        <v>23</v>
      </c>
      <c r="C306" s="12" t="s">
        <v>20</v>
      </c>
      <c r="D306" s="13" t="s">
        <v>245</v>
      </c>
      <c r="E306" s="16" t="n">
        <v>45885</v>
      </c>
      <c r="F306" s="15" t="n">
        <f aca="false">ROUND((IF(K306="",DATE(2026,9,30),K306)-E306)/365.25,1)</f>
        <v>0.1</v>
      </c>
      <c r="G306" s="12"/>
      <c r="H306" s="16" t="n">
        <v>45885</v>
      </c>
      <c r="I306" s="12" t="s">
        <v>49</v>
      </c>
      <c r="J306" s="12" t="s">
        <v>42</v>
      </c>
      <c r="K306" s="17" t="n">
        <v>45917</v>
      </c>
      <c r="L306" s="13" t="s">
        <v>317</v>
      </c>
      <c r="M306" s="12" t="s">
        <v>70</v>
      </c>
      <c r="N306" s="12"/>
    </row>
    <row r="307" customFormat="false" ht="15" hidden="false" customHeight="false" outlineLevel="0" collapsed="false">
      <c r="A307" s="13" t="s">
        <v>369</v>
      </c>
      <c r="B307" s="12" t="s">
        <v>23</v>
      </c>
      <c r="C307" s="12" t="s">
        <v>20</v>
      </c>
      <c r="D307" s="13" t="s">
        <v>255</v>
      </c>
      <c r="E307" s="14" t="n">
        <v>45806</v>
      </c>
      <c r="F307" s="15" t="n">
        <f aca="false">ROUND((IF(K307="",DATE(2026,9,30),K307)-E307)/365.25,1)</f>
        <v>1.3</v>
      </c>
      <c r="G307" s="12"/>
      <c r="H307" s="14" t="n">
        <v>45891</v>
      </c>
      <c r="I307" s="12" t="s">
        <v>201</v>
      </c>
      <c r="J307" s="12" t="s">
        <v>47</v>
      </c>
      <c r="K307" s="12"/>
      <c r="L307" s="12"/>
      <c r="M307" s="12" t="s">
        <v>70</v>
      </c>
      <c r="N307" s="12"/>
    </row>
    <row r="308" customFormat="false" ht="15" hidden="false" customHeight="false" outlineLevel="0" collapsed="false">
      <c r="A308" s="13" t="s">
        <v>370</v>
      </c>
      <c r="B308" s="12" t="s">
        <v>23</v>
      </c>
      <c r="C308" s="12" t="s">
        <v>20</v>
      </c>
      <c r="D308" s="13" t="s">
        <v>245</v>
      </c>
      <c r="E308" s="14" t="n">
        <v>45818</v>
      </c>
      <c r="F308" s="15" t="n">
        <f aca="false">ROUND((IF(K308="",DATE(2026,9,30),K308)-E308)/365.25,1)</f>
        <v>0.2</v>
      </c>
      <c r="G308" s="12"/>
      <c r="H308" s="14" t="n">
        <v>45891</v>
      </c>
      <c r="I308" s="12" t="s">
        <v>201</v>
      </c>
      <c r="J308" s="12" t="s">
        <v>163</v>
      </c>
      <c r="K308" s="17" t="n">
        <v>45900</v>
      </c>
      <c r="L308" s="12"/>
      <c r="M308" s="12" t="s">
        <v>70</v>
      </c>
      <c r="N308" s="12"/>
    </row>
    <row r="309" customFormat="false" ht="15" hidden="false" customHeight="false" outlineLevel="0" collapsed="false">
      <c r="A309" s="13" t="s">
        <v>371</v>
      </c>
      <c r="B309" s="12" t="s">
        <v>23</v>
      </c>
      <c r="C309" s="12" t="s">
        <v>20</v>
      </c>
      <c r="D309" s="13" t="s">
        <v>245</v>
      </c>
      <c r="E309" s="16" t="n">
        <v>45979</v>
      </c>
      <c r="F309" s="15" t="n">
        <f aca="false">ROUND((IF(K309="",DATE(2026,9,30),K309)-E309)/365.25,1)</f>
        <v>0.6</v>
      </c>
      <c r="G309" s="12"/>
      <c r="H309" s="16" t="n">
        <v>45979</v>
      </c>
      <c r="I309" s="12" t="s">
        <v>49</v>
      </c>
      <c r="J309" s="12" t="s">
        <v>42</v>
      </c>
      <c r="K309" s="17" t="n">
        <v>46204</v>
      </c>
      <c r="L309" s="13" t="s">
        <v>327</v>
      </c>
      <c r="M309" s="12" t="s">
        <v>70</v>
      </c>
      <c r="N309" s="12"/>
    </row>
    <row r="310" customFormat="false" ht="15" hidden="false" customHeight="false" outlineLevel="0" collapsed="false">
      <c r="A310" s="13" t="s">
        <v>372</v>
      </c>
      <c r="B310" s="12" t="s">
        <v>23</v>
      </c>
      <c r="C310" s="12" t="s">
        <v>20</v>
      </c>
      <c r="D310" s="13" t="s">
        <v>245</v>
      </c>
      <c r="E310" s="16" t="n">
        <v>45979</v>
      </c>
      <c r="F310" s="15" t="n">
        <f aca="false">ROUND((IF(K310="",DATE(2026,9,30),K310)-E310)/365.25,1)</f>
        <v>0.9</v>
      </c>
      <c r="G310" s="12"/>
      <c r="H310" s="16" t="n">
        <v>45979</v>
      </c>
      <c r="I310" s="12" t="s">
        <v>49</v>
      </c>
      <c r="J310" s="12" t="s">
        <v>47</v>
      </c>
      <c r="K310" s="12"/>
      <c r="L310" s="13" t="s">
        <v>327</v>
      </c>
      <c r="M310" s="12" t="s">
        <v>70</v>
      </c>
      <c r="N310" s="12"/>
    </row>
    <row r="311" customFormat="false" ht="15" hidden="false" customHeight="false" outlineLevel="0" collapsed="false">
      <c r="A311" s="13" t="s">
        <v>373</v>
      </c>
      <c r="B311" s="12" t="s">
        <v>23</v>
      </c>
      <c r="C311" s="12" t="s">
        <v>20</v>
      </c>
      <c r="D311" s="13" t="s">
        <v>255</v>
      </c>
      <c r="E311" s="16" t="n">
        <v>45984</v>
      </c>
      <c r="F311" s="15" t="n">
        <f aca="false">ROUND((IF(K311="",DATE(2026,9,30),K311)-E311)/365.25,1)</f>
        <v>0.1</v>
      </c>
      <c r="G311" s="12"/>
      <c r="H311" s="16" t="n">
        <v>45984</v>
      </c>
      <c r="I311" s="12" t="s">
        <v>49</v>
      </c>
      <c r="J311" s="12" t="s">
        <v>42</v>
      </c>
      <c r="K311" s="17" t="n">
        <v>46028</v>
      </c>
      <c r="L311" s="13" t="s">
        <v>320</v>
      </c>
      <c r="M311" s="12" t="s">
        <v>70</v>
      </c>
      <c r="N311" s="12"/>
    </row>
    <row r="312" customFormat="false" ht="15" hidden="false" customHeight="false" outlineLevel="0" collapsed="false">
      <c r="A312" s="13" t="s">
        <v>374</v>
      </c>
      <c r="B312" s="12" t="s">
        <v>23</v>
      </c>
      <c r="C312" s="12" t="s">
        <v>19</v>
      </c>
      <c r="D312" s="13" t="s">
        <v>245</v>
      </c>
      <c r="E312" s="16" t="n">
        <v>45985</v>
      </c>
      <c r="F312" s="15" t="n">
        <f aca="false">ROUND((IF(K312="",DATE(2026,9,30),K312)-E312)/365.25,1)</f>
        <v>0.8</v>
      </c>
      <c r="G312" s="12"/>
      <c r="H312" s="16" t="n">
        <v>45985</v>
      </c>
      <c r="I312" s="12" t="s">
        <v>49</v>
      </c>
      <c r="J312" s="12" t="s">
        <v>47</v>
      </c>
      <c r="K312" s="12"/>
      <c r="L312" s="13" t="s">
        <v>285</v>
      </c>
      <c r="M312" s="12" t="s">
        <v>70</v>
      </c>
      <c r="N312" s="12"/>
    </row>
    <row r="313" customFormat="false" ht="15" hidden="false" customHeight="false" outlineLevel="0" collapsed="false">
      <c r="A313" s="13" t="s">
        <v>375</v>
      </c>
      <c r="B313" s="12" t="s">
        <v>23</v>
      </c>
      <c r="C313" s="12" t="s">
        <v>20</v>
      </c>
      <c r="D313" s="13" t="s">
        <v>245</v>
      </c>
      <c r="E313" s="16" t="n">
        <v>45985</v>
      </c>
      <c r="F313" s="15" t="n">
        <f aca="false">ROUND((IF(K313="",DATE(2026,9,30),K313)-E313)/365.25,1)</f>
        <v>0.8</v>
      </c>
      <c r="G313" s="12"/>
      <c r="H313" s="16" t="n">
        <v>45985</v>
      </c>
      <c r="I313" s="12" t="s">
        <v>49</v>
      </c>
      <c r="J313" s="12" t="s">
        <v>42</v>
      </c>
      <c r="K313" s="17" t="n">
        <v>46265</v>
      </c>
      <c r="L313" s="13" t="s">
        <v>285</v>
      </c>
      <c r="M313" s="12" t="s">
        <v>70</v>
      </c>
      <c r="N313" s="12"/>
    </row>
    <row r="314" customFormat="false" ht="15" hidden="false" customHeight="false" outlineLevel="0" collapsed="false">
      <c r="A314" s="13" t="s">
        <v>376</v>
      </c>
      <c r="B314" s="12" t="s">
        <v>23</v>
      </c>
      <c r="C314" s="12" t="s">
        <v>19</v>
      </c>
      <c r="D314" s="13" t="s">
        <v>240</v>
      </c>
      <c r="E314" s="16" t="n">
        <v>45986</v>
      </c>
      <c r="F314" s="15" t="n">
        <f aca="false">ROUND((IF(K314="",DATE(2026,9,30),K314)-E314)/365.25,1)</f>
        <v>0</v>
      </c>
      <c r="G314" s="12"/>
      <c r="H314" s="16" t="n">
        <v>45986</v>
      </c>
      <c r="I314" s="12" t="s">
        <v>49</v>
      </c>
      <c r="J314" s="12" t="s">
        <v>42</v>
      </c>
      <c r="K314" s="17" t="n">
        <v>45987</v>
      </c>
      <c r="L314" s="13" t="s">
        <v>313</v>
      </c>
      <c r="M314" s="12" t="s">
        <v>70</v>
      </c>
      <c r="N314" s="12"/>
    </row>
    <row r="315" customFormat="false" ht="15" hidden="false" customHeight="false" outlineLevel="0" collapsed="false">
      <c r="A315" s="13" t="s">
        <v>377</v>
      </c>
      <c r="B315" s="12" t="s">
        <v>23</v>
      </c>
      <c r="C315" s="12" t="s">
        <v>20</v>
      </c>
      <c r="D315" s="13" t="s">
        <v>255</v>
      </c>
      <c r="E315" s="16" t="n">
        <v>46061</v>
      </c>
      <c r="F315" s="15" t="n">
        <f aca="false">ROUND((IF(K315="",DATE(2026,9,30),K315)-E315)/365.25,1)</f>
        <v>0.6</v>
      </c>
      <c r="G315" s="12"/>
      <c r="H315" s="16" t="n">
        <v>46061</v>
      </c>
      <c r="I315" s="12" t="s">
        <v>49</v>
      </c>
      <c r="J315" s="12" t="s">
        <v>47</v>
      </c>
      <c r="K315" s="12"/>
      <c r="L315" s="13" t="s">
        <v>296</v>
      </c>
      <c r="M315" s="12" t="s">
        <v>70</v>
      </c>
      <c r="N315" s="12"/>
    </row>
    <row r="316" customFormat="false" ht="15" hidden="false" customHeight="false" outlineLevel="0" collapsed="false">
      <c r="A316" s="13" t="s">
        <v>378</v>
      </c>
      <c r="B316" s="12" t="s">
        <v>23</v>
      </c>
      <c r="C316" s="12" t="s">
        <v>19</v>
      </c>
      <c r="D316" s="13" t="s">
        <v>255</v>
      </c>
      <c r="E316" s="16" t="n">
        <v>46069</v>
      </c>
      <c r="F316" s="15" t="n">
        <f aca="false">ROUND((IF(K316="",DATE(2026,9,30),K316)-E316)/365.25,1)</f>
        <v>0.6</v>
      </c>
      <c r="G316" s="12"/>
      <c r="H316" s="16" t="n">
        <v>46069</v>
      </c>
      <c r="I316" s="12" t="s">
        <v>49</v>
      </c>
      <c r="J316" s="12" t="s">
        <v>47</v>
      </c>
      <c r="K316" s="12"/>
      <c r="L316" s="13" t="s">
        <v>348</v>
      </c>
      <c r="M316" s="12" t="s">
        <v>70</v>
      </c>
      <c r="N316" s="12"/>
    </row>
    <row r="317" customFormat="false" ht="15" hidden="false" customHeight="false" outlineLevel="0" collapsed="false">
      <c r="A317" s="13" t="s">
        <v>379</v>
      </c>
      <c r="B317" s="12" t="s">
        <v>23</v>
      </c>
      <c r="C317" s="12" t="s">
        <v>19</v>
      </c>
      <c r="D317" s="13" t="s">
        <v>245</v>
      </c>
      <c r="E317" s="16" t="n">
        <v>46072</v>
      </c>
      <c r="F317" s="15" t="n">
        <f aca="false">ROUND((IF(K317="",DATE(2026,9,30),K317)-E317)/365.25,1)</f>
        <v>0.6</v>
      </c>
      <c r="G317" s="12"/>
      <c r="H317" s="16" t="n">
        <v>46072</v>
      </c>
      <c r="I317" s="12" t="s">
        <v>49</v>
      </c>
      <c r="J317" s="12" t="s">
        <v>47</v>
      </c>
      <c r="K317" s="12"/>
      <c r="L317" s="13" t="s">
        <v>336</v>
      </c>
      <c r="M317" s="12" t="s">
        <v>70</v>
      </c>
      <c r="N317" s="12"/>
    </row>
    <row r="318" customFormat="false" ht="15" hidden="false" customHeight="false" outlineLevel="0" collapsed="false">
      <c r="A318" s="13" t="s">
        <v>380</v>
      </c>
      <c r="B318" s="12" t="s">
        <v>23</v>
      </c>
      <c r="C318" s="12" t="s">
        <v>20</v>
      </c>
      <c r="D318" s="13" t="s">
        <v>240</v>
      </c>
      <c r="E318" s="16" t="n">
        <v>46075</v>
      </c>
      <c r="F318" s="15" t="n">
        <f aca="false">ROUND((IF(K318="",DATE(2026,9,30),K318)-E318)/365.25,1)</f>
        <v>0</v>
      </c>
      <c r="G318" s="12"/>
      <c r="H318" s="16" t="n">
        <v>46075</v>
      </c>
      <c r="I318" s="12" t="s">
        <v>49</v>
      </c>
      <c r="J318" s="12" t="s">
        <v>42</v>
      </c>
      <c r="K318" s="17" t="n">
        <v>46080</v>
      </c>
      <c r="L318" s="13" t="s">
        <v>325</v>
      </c>
      <c r="M318" s="12" t="s">
        <v>70</v>
      </c>
      <c r="N318" s="12"/>
    </row>
    <row r="319" customFormat="false" ht="15" hidden="false" customHeight="false" outlineLevel="0" collapsed="false">
      <c r="A319" s="13" t="s">
        <v>381</v>
      </c>
      <c r="B319" s="12" t="s">
        <v>23</v>
      </c>
      <c r="C319" s="12" t="s">
        <v>20</v>
      </c>
      <c r="D319" s="13" t="s">
        <v>240</v>
      </c>
      <c r="E319" s="16" t="n">
        <v>46075</v>
      </c>
      <c r="F319" s="15" t="n">
        <f aca="false">ROUND((IF(K319="",DATE(2026,9,30),K319)-E319)/365.25,1)</f>
        <v>0.6</v>
      </c>
      <c r="G319" s="12"/>
      <c r="H319" s="16" t="n">
        <v>46075</v>
      </c>
      <c r="I319" s="12" t="s">
        <v>49</v>
      </c>
      <c r="J319" s="12" t="s">
        <v>47</v>
      </c>
      <c r="K319" s="12"/>
      <c r="L319" s="13" t="s">
        <v>325</v>
      </c>
      <c r="M319" s="12" t="s">
        <v>70</v>
      </c>
      <c r="N319" s="12"/>
    </row>
    <row r="320" customFormat="false" ht="15" hidden="false" customHeight="false" outlineLevel="0" collapsed="false">
      <c r="A320" s="13" t="s">
        <v>382</v>
      </c>
      <c r="B320" s="12" t="s">
        <v>23</v>
      </c>
      <c r="C320" s="12" t="s">
        <v>19</v>
      </c>
      <c r="D320" s="13" t="s">
        <v>245</v>
      </c>
      <c r="E320" s="16" t="n">
        <v>46076</v>
      </c>
      <c r="F320" s="15" t="n">
        <f aca="false">ROUND((IF(K320="",DATE(2026,9,30),K320)-E320)/365.25,1)</f>
        <v>0</v>
      </c>
      <c r="G320" s="12"/>
      <c r="H320" s="16" t="n">
        <v>46076</v>
      </c>
      <c r="I320" s="12" t="s">
        <v>49</v>
      </c>
      <c r="J320" s="12" t="s">
        <v>42</v>
      </c>
      <c r="K320" s="17" t="n">
        <v>46077</v>
      </c>
      <c r="L320" s="13" t="s">
        <v>291</v>
      </c>
      <c r="M320" s="12" t="s">
        <v>70</v>
      </c>
      <c r="N320" s="12"/>
    </row>
    <row r="321" customFormat="false" ht="15" hidden="false" customHeight="false" outlineLevel="0" collapsed="false">
      <c r="A321" s="13" t="s">
        <v>383</v>
      </c>
      <c r="B321" s="12" t="s">
        <v>23</v>
      </c>
      <c r="C321" s="12" t="s">
        <v>20</v>
      </c>
      <c r="D321" s="13" t="s">
        <v>245</v>
      </c>
      <c r="E321" s="16" t="n">
        <v>46076</v>
      </c>
      <c r="F321" s="15" t="n">
        <f aca="false">ROUND((IF(K321="",DATE(2026,9,30),K321)-E321)/365.25,1)</f>
        <v>0.6</v>
      </c>
      <c r="G321" s="12"/>
      <c r="H321" s="16" t="n">
        <v>46076</v>
      </c>
      <c r="I321" s="12" t="s">
        <v>49</v>
      </c>
      <c r="J321" s="12" t="s">
        <v>47</v>
      </c>
      <c r="K321" s="12"/>
      <c r="L321" s="13" t="s">
        <v>291</v>
      </c>
      <c r="M321" s="12" t="s">
        <v>70</v>
      </c>
      <c r="N321" s="12"/>
    </row>
    <row r="322" customFormat="false" ht="15" hidden="false" customHeight="false" outlineLevel="0" collapsed="false">
      <c r="A322" s="13" t="s">
        <v>384</v>
      </c>
      <c r="B322" s="12" t="s">
        <v>23</v>
      </c>
      <c r="C322" s="12" t="s">
        <v>19</v>
      </c>
      <c r="D322" s="13" t="s">
        <v>255</v>
      </c>
      <c r="E322" s="16" t="n">
        <v>46195</v>
      </c>
      <c r="F322" s="15" t="n">
        <f aca="false">ROUND((IF(K322="",DATE(2026,9,30),K322)-E322)/365.25,1)</f>
        <v>0.3</v>
      </c>
      <c r="G322" s="12"/>
      <c r="H322" s="16" t="n">
        <v>46195</v>
      </c>
      <c r="I322" s="12" t="s">
        <v>49</v>
      </c>
      <c r="J322" s="12" t="s">
        <v>47</v>
      </c>
      <c r="K322" s="12"/>
      <c r="L322" s="13" t="s">
        <v>324</v>
      </c>
      <c r="M322" s="12" t="s">
        <v>70</v>
      </c>
      <c r="N322" s="12"/>
    </row>
    <row r="323" customFormat="false" ht="15" hidden="false" customHeight="false" outlineLevel="0" collapsed="false">
      <c r="A323" s="13" t="s">
        <v>385</v>
      </c>
      <c r="B323" s="12" t="s">
        <v>23</v>
      </c>
      <c r="C323" s="12" t="s">
        <v>20</v>
      </c>
      <c r="D323" s="13" t="s">
        <v>255</v>
      </c>
      <c r="E323" s="16" t="n">
        <v>46195</v>
      </c>
      <c r="F323" s="15" t="n">
        <f aca="false">ROUND((IF(K323="",DATE(2026,9,30),K323)-E323)/365.25,1)</f>
        <v>0.3</v>
      </c>
      <c r="G323" s="12"/>
      <c r="H323" s="16" t="n">
        <v>46195</v>
      </c>
      <c r="I323" s="12" t="s">
        <v>49</v>
      </c>
      <c r="J323" s="12" t="s">
        <v>47</v>
      </c>
      <c r="K323" s="12"/>
      <c r="L323" s="13" t="s">
        <v>324</v>
      </c>
      <c r="M323" s="12" t="s">
        <v>70</v>
      </c>
      <c r="N323" s="12"/>
    </row>
    <row r="324" customFormat="false" ht="15" hidden="false" customHeight="false" outlineLevel="0" collapsed="false">
      <c r="A324" s="13" t="s">
        <v>386</v>
      </c>
      <c r="B324" s="12" t="s">
        <v>23</v>
      </c>
      <c r="C324" s="12" t="s">
        <v>19</v>
      </c>
      <c r="D324" s="13" t="s">
        <v>255</v>
      </c>
      <c r="E324" s="16" t="n">
        <v>46196</v>
      </c>
      <c r="F324" s="15" t="n">
        <f aca="false">ROUND((IF(K324="",DATE(2026,9,30),K324)-E324)/365.25,1)</f>
        <v>0.3</v>
      </c>
      <c r="G324" s="12"/>
      <c r="H324" s="16" t="n">
        <v>46196</v>
      </c>
      <c r="I324" s="12" t="s">
        <v>49</v>
      </c>
      <c r="J324" s="12" t="s">
        <v>47</v>
      </c>
      <c r="K324" s="12"/>
      <c r="L324" s="13" t="s">
        <v>316</v>
      </c>
      <c r="M324" s="12" t="s">
        <v>70</v>
      </c>
      <c r="N324" s="12"/>
    </row>
    <row r="325" customFormat="false" ht="15" hidden="false" customHeight="false" outlineLevel="0" collapsed="false">
      <c r="A325" s="13" t="s">
        <v>387</v>
      </c>
      <c r="B325" s="12" t="s">
        <v>23</v>
      </c>
      <c r="C325" s="12" t="s">
        <v>19</v>
      </c>
      <c r="D325" s="13" t="s">
        <v>240</v>
      </c>
      <c r="E325" s="16" t="n">
        <v>46197</v>
      </c>
      <c r="F325" s="15" t="n">
        <f aca="false">ROUND((IF(K325="",DATE(2026,9,30),K325)-E325)/365.25,1)</f>
        <v>0.3</v>
      </c>
      <c r="G325" s="12"/>
      <c r="H325" s="16" t="n">
        <v>46197</v>
      </c>
      <c r="I325" s="12" t="s">
        <v>49</v>
      </c>
      <c r="J325" s="12" t="s">
        <v>47</v>
      </c>
      <c r="K325" s="12"/>
      <c r="L325" s="13" t="s">
        <v>326</v>
      </c>
      <c r="M325" s="12" t="s">
        <v>70</v>
      </c>
      <c r="N325" s="12"/>
    </row>
    <row r="326" customFormat="false" ht="15" hidden="false" customHeight="false" outlineLevel="0" collapsed="false">
      <c r="A326" s="13" t="s">
        <v>388</v>
      </c>
      <c r="B326" s="12" t="s">
        <v>23</v>
      </c>
      <c r="C326" s="12" t="s">
        <v>19</v>
      </c>
      <c r="D326" s="13" t="s">
        <v>240</v>
      </c>
      <c r="E326" s="16" t="n">
        <v>46198</v>
      </c>
      <c r="F326" s="15" t="n">
        <f aca="false">ROUND((IF(K326="",DATE(2026,9,30),K326)-E326)/365.25,1)</f>
        <v>0.3</v>
      </c>
      <c r="G326" s="12"/>
      <c r="H326" s="16" t="n">
        <v>46198</v>
      </c>
      <c r="I326" s="12" t="s">
        <v>49</v>
      </c>
      <c r="J326" s="12" t="s">
        <v>47</v>
      </c>
      <c r="K326" s="12"/>
      <c r="L326" s="13" t="s">
        <v>338</v>
      </c>
      <c r="M326" s="12" t="s">
        <v>70</v>
      </c>
      <c r="N326" s="12"/>
    </row>
    <row r="327" customFormat="false" ht="15" hidden="false" customHeight="false" outlineLevel="0" collapsed="false">
      <c r="A327" s="13" t="s">
        <v>389</v>
      </c>
      <c r="B327" s="12" t="s">
        <v>23</v>
      </c>
      <c r="C327" s="12" t="s">
        <v>19</v>
      </c>
      <c r="D327" s="13" t="s">
        <v>240</v>
      </c>
      <c r="E327" s="16" t="n">
        <v>46198</v>
      </c>
      <c r="F327" s="15" t="n">
        <f aca="false">ROUND((IF(K327="",DATE(2026,9,30),K327)-E327)/365.25,1)</f>
        <v>0.3</v>
      </c>
      <c r="G327" s="12"/>
      <c r="H327" s="16" t="n">
        <v>46198</v>
      </c>
      <c r="I327" s="12" t="s">
        <v>49</v>
      </c>
      <c r="J327" s="12" t="s">
        <v>47</v>
      </c>
      <c r="K327" s="12"/>
      <c r="L327" s="13" t="s">
        <v>338</v>
      </c>
      <c r="M327" s="12" t="s">
        <v>70</v>
      </c>
      <c r="N327" s="12"/>
    </row>
    <row r="328" customFormat="false" ht="15" hidden="false" customHeight="false" outlineLevel="0" collapsed="false">
      <c r="A328" s="13" t="s">
        <v>390</v>
      </c>
      <c r="B328" s="12" t="s">
        <v>23</v>
      </c>
      <c r="C328" s="12" t="s">
        <v>20</v>
      </c>
      <c r="D328" s="13" t="s">
        <v>245</v>
      </c>
      <c r="E328" s="16" t="n">
        <v>46198</v>
      </c>
      <c r="F328" s="15" t="n">
        <f aca="false">ROUND((IF(K328="",DATE(2026,9,30),K328)-E328)/365.25,1)</f>
        <v>0.3</v>
      </c>
      <c r="G328" s="12"/>
      <c r="H328" s="16" t="n">
        <v>46198</v>
      </c>
      <c r="I328" s="12" t="s">
        <v>49</v>
      </c>
      <c r="J328" s="12" t="s">
        <v>47</v>
      </c>
      <c r="K328" s="12"/>
      <c r="L328" s="13" t="s">
        <v>335</v>
      </c>
      <c r="M328" s="12" t="s">
        <v>70</v>
      </c>
      <c r="N328" s="12"/>
    </row>
    <row r="329" customFormat="false" ht="15" hidden="false" customHeight="false" outlineLevel="0" collapsed="false">
      <c r="A329" s="13" t="s">
        <v>391</v>
      </c>
      <c r="B329" s="12" t="s">
        <v>23</v>
      </c>
      <c r="C329" s="12" t="s">
        <v>20</v>
      </c>
      <c r="D329" s="13" t="s">
        <v>245</v>
      </c>
      <c r="E329" s="16" t="n">
        <v>46198</v>
      </c>
      <c r="F329" s="15" t="n">
        <f aca="false">ROUND((IF(K329="",DATE(2026,9,30),K329)-E329)/365.25,1)</f>
        <v>0.3</v>
      </c>
      <c r="G329" s="12"/>
      <c r="H329" s="16" t="n">
        <v>46198</v>
      </c>
      <c r="I329" s="12" t="s">
        <v>49</v>
      </c>
      <c r="J329" s="12" t="s">
        <v>47</v>
      </c>
      <c r="K329" s="12"/>
      <c r="L329" s="13" t="s">
        <v>335</v>
      </c>
      <c r="M329" s="12" t="s">
        <v>70</v>
      </c>
      <c r="N329" s="12"/>
    </row>
    <row r="330" customFormat="false" ht="15" hidden="false" customHeight="false" outlineLevel="0" collapsed="false">
      <c r="A330" s="13" t="s">
        <v>392</v>
      </c>
      <c r="B330" s="12" t="s">
        <v>23</v>
      </c>
      <c r="C330" s="12" t="s">
        <v>19</v>
      </c>
      <c r="D330" s="13" t="s">
        <v>240</v>
      </c>
      <c r="E330" s="16" t="n">
        <v>46201</v>
      </c>
      <c r="F330" s="15" t="n">
        <f aca="false">ROUND((IF(K330="",DATE(2026,9,30),K330)-E330)/365.25,1)</f>
        <v>0.3</v>
      </c>
      <c r="G330" s="12"/>
      <c r="H330" s="16" t="n">
        <v>46201</v>
      </c>
      <c r="I330" s="12" t="s">
        <v>49</v>
      </c>
      <c r="J330" s="12" t="s">
        <v>47</v>
      </c>
      <c r="K330" s="12"/>
      <c r="L330" s="13" t="s">
        <v>311</v>
      </c>
      <c r="M330" s="12" t="s">
        <v>70</v>
      </c>
      <c r="N330" s="12"/>
    </row>
    <row r="331" customFormat="false" ht="15" hidden="false" customHeight="false" outlineLevel="0" collapsed="false">
      <c r="A331" s="13" t="s">
        <v>393</v>
      </c>
      <c r="B331" s="12" t="s">
        <v>23</v>
      </c>
      <c r="C331" s="12" t="s">
        <v>19</v>
      </c>
      <c r="D331" s="13" t="s">
        <v>240</v>
      </c>
      <c r="E331" s="16" t="n">
        <v>46201</v>
      </c>
      <c r="F331" s="15" t="n">
        <f aca="false">ROUND((IF(K331="",DATE(2026,9,30),K331)-E331)/365.25,1)</f>
        <v>0.3</v>
      </c>
      <c r="G331" s="12"/>
      <c r="H331" s="16" t="n">
        <v>46201</v>
      </c>
      <c r="I331" s="12" t="s">
        <v>49</v>
      </c>
      <c r="J331" s="12" t="s">
        <v>47</v>
      </c>
      <c r="K331" s="12"/>
      <c r="L331" s="13" t="s">
        <v>311</v>
      </c>
      <c r="M331" s="12" t="s">
        <v>70</v>
      </c>
      <c r="N331" s="12"/>
    </row>
    <row r="332" customFormat="false" ht="15" hidden="false" customHeight="false" outlineLevel="0" collapsed="false">
      <c r="A332" s="13" t="s">
        <v>394</v>
      </c>
      <c r="B332" s="12" t="s">
        <v>23</v>
      </c>
      <c r="C332" s="12" t="s">
        <v>19</v>
      </c>
      <c r="D332" s="13" t="s">
        <v>255</v>
      </c>
      <c r="E332" s="16" t="n">
        <v>46201</v>
      </c>
      <c r="F332" s="15" t="n">
        <f aca="false">ROUND((IF(K332="",DATE(2026,9,30),K332)-E332)/365.25,1)</f>
        <v>0.3</v>
      </c>
      <c r="G332" s="12"/>
      <c r="H332" s="16" t="n">
        <v>46201</v>
      </c>
      <c r="I332" s="12" t="s">
        <v>49</v>
      </c>
      <c r="J332" s="12" t="s">
        <v>47</v>
      </c>
      <c r="K332" s="12"/>
      <c r="L332" s="13" t="s">
        <v>306</v>
      </c>
      <c r="M332" s="12" t="s">
        <v>70</v>
      </c>
      <c r="N332" s="12"/>
    </row>
    <row r="333" customFormat="false" ht="15" hidden="false" customHeight="false" outlineLevel="0" collapsed="false">
      <c r="A333" s="13" t="s">
        <v>395</v>
      </c>
      <c r="B333" s="12" t="s">
        <v>23</v>
      </c>
      <c r="C333" s="12" t="s">
        <v>20</v>
      </c>
      <c r="D333" s="13" t="s">
        <v>255</v>
      </c>
      <c r="E333" s="16" t="n">
        <v>46201</v>
      </c>
      <c r="F333" s="15" t="n">
        <f aca="false">ROUND((IF(K333="",DATE(2026,9,30),K333)-E333)/365.25,1)</f>
        <v>0.3</v>
      </c>
      <c r="G333" s="12"/>
      <c r="H333" s="16" t="n">
        <v>46201</v>
      </c>
      <c r="I333" s="12" t="s">
        <v>49</v>
      </c>
      <c r="J333" s="12" t="s">
        <v>47</v>
      </c>
      <c r="K333" s="12"/>
      <c r="L333" s="13" t="s">
        <v>306</v>
      </c>
      <c r="M333" s="12" t="s">
        <v>70</v>
      </c>
      <c r="N333" s="12"/>
    </row>
    <row r="334" customFormat="false" ht="15" hidden="false" customHeight="false" outlineLevel="0" collapsed="false">
      <c r="A334" s="13" t="s">
        <v>396</v>
      </c>
      <c r="B334" s="12" t="s">
        <v>23</v>
      </c>
      <c r="C334" s="12" t="s">
        <v>19</v>
      </c>
      <c r="D334" s="13" t="s">
        <v>245</v>
      </c>
      <c r="E334" s="16" t="n">
        <v>46202</v>
      </c>
      <c r="F334" s="15" t="n">
        <f aca="false">ROUND((IF(K334="",DATE(2026,9,30),K334)-E334)/365.25,1)</f>
        <v>0.3</v>
      </c>
      <c r="G334" s="12"/>
      <c r="H334" s="16" t="n">
        <v>46202</v>
      </c>
      <c r="I334" s="12" t="s">
        <v>49</v>
      </c>
      <c r="J334" s="12" t="s">
        <v>47</v>
      </c>
      <c r="K334" s="12"/>
      <c r="L334" s="13" t="s">
        <v>287</v>
      </c>
      <c r="M334" s="12" t="s">
        <v>70</v>
      </c>
      <c r="N334" s="12"/>
    </row>
    <row r="335" customFormat="false" ht="15" hidden="false" customHeight="false" outlineLevel="0" collapsed="false">
      <c r="A335" s="13" t="s">
        <v>397</v>
      </c>
      <c r="B335" s="12" t="s">
        <v>23</v>
      </c>
      <c r="C335" s="12" t="s">
        <v>19</v>
      </c>
      <c r="D335" s="13" t="s">
        <v>255</v>
      </c>
      <c r="E335" s="16" t="n">
        <v>46203</v>
      </c>
      <c r="F335" s="15" t="n">
        <f aca="false">ROUND((IF(K335="",DATE(2026,9,30),K335)-E335)/365.25,1)</f>
        <v>0</v>
      </c>
      <c r="G335" s="12"/>
      <c r="H335" s="16" t="n">
        <v>46203</v>
      </c>
      <c r="I335" s="12" t="s">
        <v>49</v>
      </c>
      <c r="J335" s="12" t="s">
        <v>42</v>
      </c>
      <c r="K335" s="17" t="n">
        <v>46209</v>
      </c>
      <c r="L335" s="13" t="s">
        <v>286</v>
      </c>
      <c r="M335" s="12" t="s">
        <v>70</v>
      </c>
      <c r="N335" s="12"/>
    </row>
    <row r="336" customFormat="false" ht="15" hidden="false" customHeight="false" outlineLevel="0" collapsed="false">
      <c r="A336" s="13" t="s">
        <v>398</v>
      </c>
      <c r="B336" s="12" t="s">
        <v>23</v>
      </c>
      <c r="C336" s="12" t="s">
        <v>20</v>
      </c>
      <c r="D336" s="13" t="s">
        <v>255</v>
      </c>
      <c r="E336" s="16" t="n">
        <v>46203</v>
      </c>
      <c r="F336" s="15" t="n">
        <f aca="false">ROUND((IF(K336="",DATE(2026,9,30),K336)-E336)/365.25,1)</f>
        <v>0.3</v>
      </c>
      <c r="G336" s="12"/>
      <c r="H336" s="16" t="n">
        <v>46203</v>
      </c>
      <c r="I336" s="12" t="s">
        <v>49</v>
      </c>
      <c r="J336" s="12" t="s">
        <v>47</v>
      </c>
      <c r="K336" s="12"/>
      <c r="L336" s="13" t="s">
        <v>286</v>
      </c>
      <c r="M336" s="12" t="s">
        <v>70</v>
      </c>
      <c r="N336" s="12"/>
    </row>
    <row r="337" customFormat="false" ht="15" hidden="false" customHeight="false" outlineLevel="0" collapsed="false">
      <c r="A337" s="13" t="s">
        <v>399</v>
      </c>
      <c r="B337" s="12" t="s">
        <v>23</v>
      </c>
      <c r="C337" s="12" t="s">
        <v>20</v>
      </c>
      <c r="D337" s="13" t="s">
        <v>255</v>
      </c>
      <c r="E337" s="16" t="n">
        <v>46203</v>
      </c>
      <c r="F337" s="15" t="n">
        <f aca="false">ROUND((IF(K337="",DATE(2026,9,30),K337)-E337)/365.25,1)</f>
        <v>0.1</v>
      </c>
      <c r="G337" s="12"/>
      <c r="H337" s="16" t="n">
        <v>46203</v>
      </c>
      <c r="I337" s="12" t="s">
        <v>49</v>
      </c>
      <c r="J337" s="12" t="s">
        <v>42</v>
      </c>
      <c r="K337" s="17" t="n">
        <v>46244</v>
      </c>
      <c r="L337" s="13" t="s">
        <v>349</v>
      </c>
      <c r="M337" s="12" t="s">
        <v>70</v>
      </c>
      <c r="N337" s="12"/>
    </row>
    <row r="338" customFormat="false" ht="15" hidden="false" customHeight="false" outlineLevel="0" collapsed="false">
      <c r="A338" s="13" t="s">
        <v>400</v>
      </c>
      <c r="B338" s="12" t="s">
        <v>23</v>
      </c>
      <c r="C338" s="12" t="s">
        <v>19</v>
      </c>
      <c r="D338" s="13" t="s">
        <v>255</v>
      </c>
      <c r="E338" s="16" t="n">
        <v>46204</v>
      </c>
      <c r="F338" s="15" t="n">
        <f aca="false">ROUND((IF(K338="",DATE(2026,9,30),K338)-E338)/365.25,1)</f>
        <v>0.2</v>
      </c>
      <c r="G338" s="12"/>
      <c r="H338" s="16" t="n">
        <v>46204</v>
      </c>
      <c r="I338" s="12" t="s">
        <v>49</v>
      </c>
      <c r="J338" s="12" t="s">
        <v>47</v>
      </c>
      <c r="K338" s="12"/>
      <c r="L338" s="13" t="s">
        <v>319</v>
      </c>
      <c r="M338" s="12" t="s">
        <v>70</v>
      </c>
      <c r="N338" s="12"/>
    </row>
    <row r="339" customFormat="false" ht="15" hidden="false" customHeight="false" outlineLevel="0" collapsed="false">
      <c r="A339" s="13" t="s">
        <v>401</v>
      </c>
      <c r="B339" s="12" t="s">
        <v>23</v>
      </c>
      <c r="C339" s="12" t="s">
        <v>19</v>
      </c>
      <c r="D339" s="13" t="s">
        <v>255</v>
      </c>
      <c r="E339" s="16" t="n">
        <v>46204</v>
      </c>
      <c r="F339" s="15" t="n">
        <f aca="false">ROUND((IF(K339="",DATE(2026,9,30),K339)-E339)/365.25,1)</f>
        <v>0.1</v>
      </c>
      <c r="G339" s="12"/>
      <c r="H339" s="16" t="n">
        <v>46204</v>
      </c>
      <c r="I339" s="12" t="s">
        <v>49</v>
      </c>
      <c r="J339" s="12" t="s">
        <v>42</v>
      </c>
      <c r="K339" s="17" t="n">
        <v>46244</v>
      </c>
      <c r="L339" s="13" t="s">
        <v>319</v>
      </c>
      <c r="M339" s="12" t="s">
        <v>70</v>
      </c>
      <c r="N339" s="12"/>
    </row>
    <row r="340" customFormat="false" ht="15" hidden="false" customHeight="false" outlineLevel="0" collapsed="false">
      <c r="A340" s="13" t="s">
        <v>402</v>
      </c>
      <c r="B340" s="12" t="s">
        <v>23</v>
      </c>
      <c r="C340" s="12" t="s">
        <v>20</v>
      </c>
      <c r="D340" s="13" t="s">
        <v>240</v>
      </c>
      <c r="E340" s="16" t="n">
        <v>46205</v>
      </c>
      <c r="F340" s="15" t="n">
        <f aca="false">ROUND((IF(K340="",DATE(2026,9,30),K340)-E340)/365.25,1)</f>
        <v>0.2</v>
      </c>
      <c r="G340" s="12"/>
      <c r="H340" s="16" t="n">
        <v>46205</v>
      </c>
      <c r="I340" s="12" t="s">
        <v>49</v>
      </c>
      <c r="J340" s="12" t="s">
        <v>47</v>
      </c>
      <c r="K340" s="12"/>
      <c r="L340" s="13" t="s">
        <v>347</v>
      </c>
      <c r="M340" s="12" t="s">
        <v>70</v>
      </c>
      <c r="N340" s="12"/>
    </row>
    <row r="341" customFormat="false" ht="15" hidden="false" customHeight="false" outlineLevel="0" collapsed="false">
      <c r="A341" s="13" t="s">
        <v>403</v>
      </c>
      <c r="B341" s="12" t="s">
        <v>23</v>
      </c>
      <c r="C341" s="12" t="s">
        <v>19</v>
      </c>
      <c r="D341" s="13" t="s">
        <v>240</v>
      </c>
      <c r="E341" s="16" t="n">
        <v>46207</v>
      </c>
      <c r="F341" s="15" t="n">
        <f aca="false">ROUND((IF(K341="",DATE(2026,9,30),K341)-E341)/365.25,1)</f>
        <v>0.2</v>
      </c>
      <c r="G341" s="12"/>
      <c r="H341" s="16" t="n">
        <v>46207</v>
      </c>
      <c r="I341" s="12" t="s">
        <v>49</v>
      </c>
      <c r="J341" s="12" t="s">
        <v>47</v>
      </c>
      <c r="K341" s="12"/>
      <c r="L341" s="13" t="s">
        <v>282</v>
      </c>
      <c r="M341" s="12" t="s">
        <v>70</v>
      </c>
      <c r="N341" s="12"/>
    </row>
    <row r="342" customFormat="false" ht="15" hidden="false" customHeight="false" outlineLevel="0" collapsed="false">
      <c r="A342" s="13" t="s">
        <v>404</v>
      </c>
      <c r="B342" s="12" t="s">
        <v>23</v>
      </c>
      <c r="C342" s="12" t="s">
        <v>19</v>
      </c>
      <c r="D342" s="13" t="s">
        <v>240</v>
      </c>
      <c r="E342" s="16" t="n">
        <v>46207</v>
      </c>
      <c r="F342" s="15" t="n">
        <f aca="false">ROUND((IF(K342="",DATE(2026,9,30),K342)-E342)/365.25,1)</f>
        <v>0.2</v>
      </c>
      <c r="G342" s="12"/>
      <c r="H342" s="16" t="n">
        <v>46207</v>
      </c>
      <c r="I342" s="12" t="s">
        <v>49</v>
      </c>
      <c r="J342" s="12" t="s">
        <v>47</v>
      </c>
      <c r="K342" s="12"/>
      <c r="L342" s="13" t="s">
        <v>282</v>
      </c>
      <c r="M342" s="12" t="s">
        <v>70</v>
      </c>
      <c r="N342" s="12"/>
    </row>
    <row r="343" customFormat="false" ht="15" hidden="false" customHeight="false" outlineLevel="0" collapsed="false">
      <c r="A343" s="13" t="s">
        <v>405</v>
      </c>
      <c r="B343" s="12" t="s">
        <v>23</v>
      </c>
      <c r="C343" s="12" t="s">
        <v>20</v>
      </c>
      <c r="D343" s="13" t="s">
        <v>240</v>
      </c>
      <c r="E343" s="16" t="n">
        <v>46237</v>
      </c>
      <c r="F343" s="15" t="n">
        <f aca="false">ROUND((IF(K343="",DATE(2026,9,30),K343)-E343)/365.25,1)</f>
        <v>0.2</v>
      </c>
      <c r="G343" s="12"/>
      <c r="H343" s="16" t="n">
        <v>46237</v>
      </c>
      <c r="I343" s="12" t="s">
        <v>49</v>
      </c>
      <c r="J343" s="12" t="s">
        <v>47</v>
      </c>
      <c r="K343" s="12"/>
      <c r="L343" s="13" t="s">
        <v>351</v>
      </c>
      <c r="M343" s="12" t="s">
        <v>70</v>
      </c>
      <c r="N343" s="12"/>
    </row>
    <row r="344" customFormat="false" ht="15" hidden="false" customHeight="false" outlineLevel="0" collapsed="false">
      <c r="A344" s="13" t="s">
        <v>406</v>
      </c>
      <c r="B344" s="12" t="s">
        <v>23</v>
      </c>
      <c r="C344" s="12" t="s">
        <v>20</v>
      </c>
      <c r="D344" s="13" t="s">
        <v>240</v>
      </c>
      <c r="E344" s="16" t="n">
        <v>46256</v>
      </c>
      <c r="F344" s="15" t="n">
        <f aca="false">ROUND((IF(K344="",DATE(2026,9,30),K344)-E344)/365.25,1)</f>
        <v>0</v>
      </c>
      <c r="G344" s="12"/>
      <c r="H344" s="16" t="n">
        <v>46256</v>
      </c>
      <c r="I344" s="12" t="s">
        <v>49</v>
      </c>
      <c r="J344" s="12" t="s">
        <v>42</v>
      </c>
      <c r="K344" s="17" t="n">
        <v>46260</v>
      </c>
      <c r="L344" s="13" t="s">
        <v>325</v>
      </c>
      <c r="M344" s="12" t="s">
        <v>70</v>
      </c>
      <c r="N344" s="12"/>
    </row>
    <row r="345" customFormat="false" ht="15" hidden="false" customHeight="false" outlineLevel="0" collapsed="false">
      <c r="A345" s="11" t="s">
        <v>407</v>
      </c>
      <c r="B345" s="12" t="s">
        <v>24</v>
      </c>
      <c r="C345" s="12" t="s">
        <v>19</v>
      </c>
      <c r="D345" s="13" t="s">
        <v>408</v>
      </c>
      <c r="E345" s="14" t="n">
        <v>44906</v>
      </c>
      <c r="F345" s="15" t="n">
        <f aca="false">ROUND((IF(K345="",DATE(2026,9,30),K345)-E345)/365.25,1)</f>
        <v>3.3</v>
      </c>
      <c r="G345" s="12"/>
      <c r="H345" s="16" t="n">
        <v>45808</v>
      </c>
      <c r="I345" s="12" t="s">
        <v>241</v>
      </c>
      <c r="J345" s="12" t="s">
        <v>55</v>
      </c>
      <c r="K345" s="17" t="n">
        <v>46129</v>
      </c>
      <c r="L345" s="12"/>
      <c r="M345" s="11" t="s">
        <v>43</v>
      </c>
      <c r="N345" s="12"/>
    </row>
    <row r="346" customFormat="false" ht="15" hidden="false" customHeight="false" outlineLevel="0" collapsed="false">
      <c r="A346" s="11" t="s">
        <v>409</v>
      </c>
      <c r="B346" s="12" t="s">
        <v>24</v>
      </c>
      <c r="C346" s="12" t="s">
        <v>19</v>
      </c>
      <c r="D346" s="13" t="s">
        <v>410</v>
      </c>
      <c r="E346" s="16" t="n">
        <v>45833</v>
      </c>
      <c r="F346" s="15" t="n">
        <f aca="false">ROUND((IF(K346="",DATE(2026,9,30),K346)-E346)/365.25,1)</f>
        <v>0.9</v>
      </c>
      <c r="G346" s="12"/>
      <c r="H346" s="16" t="n">
        <v>45833</v>
      </c>
      <c r="I346" s="12" t="s">
        <v>49</v>
      </c>
      <c r="J346" s="12" t="s">
        <v>55</v>
      </c>
      <c r="K346" s="17" t="n">
        <v>46164</v>
      </c>
      <c r="L346" s="13" t="s">
        <v>411</v>
      </c>
      <c r="M346" s="11" t="s">
        <v>43</v>
      </c>
      <c r="N346" s="12"/>
    </row>
    <row r="347" customFormat="false" ht="15" hidden="false" customHeight="false" outlineLevel="0" collapsed="false">
      <c r="A347" s="11" t="s">
        <v>412</v>
      </c>
      <c r="B347" s="12" t="s">
        <v>24</v>
      </c>
      <c r="C347" s="12" t="s">
        <v>20</v>
      </c>
      <c r="D347" s="13" t="s">
        <v>408</v>
      </c>
      <c r="E347" s="14" t="n">
        <v>44733</v>
      </c>
      <c r="F347" s="15" t="n">
        <f aca="false">ROUND((IF(K347="",DATE(2026,9,30),K347)-E347)/365.25,1)</f>
        <v>4.3</v>
      </c>
      <c r="G347" s="12"/>
      <c r="H347" s="16" t="n">
        <v>45808</v>
      </c>
      <c r="I347" s="12" t="s">
        <v>241</v>
      </c>
      <c r="J347" s="12" t="s">
        <v>47</v>
      </c>
      <c r="K347" s="12"/>
      <c r="L347" s="12"/>
      <c r="M347" s="11" t="s">
        <v>43</v>
      </c>
      <c r="N347" s="12"/>
    </row>
    <row r="348" customFormat="false" ht="15" hidden="false" customHeight="false" outlineLevel="0" collapsed="false">
      <c r="A348" s="11" t="s">
        <v>413</v>
      </c>
      <c r="B348" s="12" t="s">
        <v>24</v>
      </c>
      <c r="C348" s="12" t="s">
        <v>19</v>
      </c>
      <c r="D348" s="13" t="s">
        <v>408</v>
      </c>
      <c r="E348" s="16" t="n">
        <v>46130</v>
      </c>
      <c r="F348" s="15" t="n">
        <f aca="false">ROUND((IF(K348="",DATE(2026,9,30),K348)-E348)/365.25,1)</f>
        <v>0.1</v>
      </c>
      <c r="G348" s="12"/>
      <c r="H348" s="16" t="n">
        <v>46130</v>
      </c>
      <c r="I348" s="12" t="s">
        <v>49</v>
      </c>
      <c r="J348" s="12" t="s">
        <v>42</v>
      </c>
      <c r="K348" s="17" t="n">
        <v>46169</v>
      </c>
      <c r="L348" s="13" t="s">
        <v>414</v>
      </c>
      <c r="M348" s="11" t="s">
        <v>43</v>
      </c>
      <c r="N348" s="12"/>
    </row>
    <row r="349" customFormat="false" ht="15" hidden="false" customHeight="false" outlineLevel="0" collapsed="false">
      <c r="A349" s="13" t="s">
        <v>415</v>
      </c>
      <c r="B349" s="12" t="s">
        <v>24</v>
      </c>
      <c r="C349" s="12" t="s">
        <v>20</v>
      </c>
      <c r="D349" s="13" t="s">
        <v>408</v>
      </c>
      <c r="E349" s="14" t="n">
        <v>44747</v>
      </c>
      <c r="F349" s="15" t="n">
        <f aca="false">ROUND((IF(K349="",DATE(2026,9,30),K349)-E349)/365.25,1)</f>
        <v>4.2</v>
      </c>
      <c r="G349" s="12"/>
      <c r="H349" s="16" t="n">
        <v>45808</v>
      </c>
      <c r="I349" s="12" t="s">
        <v>241</v>
      </c>
      <c r="J349" s="12" t="s">
        <v>47</v>
      </c>
      <c r="K349" s="12"/>
      <c r="L349" s="12"/>
      <c r="M349" s="12" t="s">
        <v>70</v>
      </c>
      <c r="N349" s="12" t="s">
        <v>267</v>
      </c>
    </row>
    <row r="350" customFormat="false" ht="15" hidden="false" customHeight="false" outlineLevel="0" collapsed="false">
      <c r="A350" s="13" t="s">
        <v>416</v>
      </c>
      <c r="B350" s="12" t="s">
        <v>24</v>
      </c>
      <c r="C350" s="12" t="s">
        <v>19</v>
      </c>
      <c r="D350" s="13" t="s">
        <v>408</v>
      </c>
      <c r="E350" s="14" t="n">
        <v>45071</v>
      </c>
      <c r="F350" s="15" t="n">
        <f aca="false">ROUND((IF(K350="",DATE(2026,9,30),K350)-E350)/365.25,1)</f>
        <v>3.4</v>
      </c>
      <c r="G350" s="12"/>
      <c r="H350" s="16" t="n">
        <v>45808</v>
      </c>
      <c r="I350" s="12" t="s">
        <v>241</v>
      </c>
      <c r="J350" s="12" t="s">
        <v>47</v>
      </c>
      <c r="K350" s="12"/>
      <c r="L350" s="12"/>
      <c r="M350" s="12" t="s">
        <v>70</v>
      </c>
      <c r="N350" s="12"/>
    </row>
    <row r="351" customFormat="false" ht="15" hidden="false" customHeight="false" outlineLevel="0" collapsed="false">
      <c r="A351" s="13" t="s">
        <v>417</v>
      </c>
      <c r="B351" s="12" t="s">
        <v>24</v>
      </c>
      <c r="C351" s="12" t="s">
        <v>19</v>
      </c>
      <c r="D351" s="13" t="s">
        <v>410</v>
      </c>
      <c r="E351" s="14" t="n">
        <v>45319</v>
      </c>
      <c r="F351" s="15" t="n">
        <f aca="false">ROUND((IF(K351="",DATE(2026,9,30),K351)-E351)/365.25,1)</f>
        <v>2.7</v>
      </c>
      <c r="G351" s="12"/>
      <c r="H351" s="16" t="n">
        <v>45808</v>
      </c>
      <c r="I351" s="12" t="s">
        <v>241</v>
      </c>
      <c r="J351" s="12" t="s">
        <v>47</v>
      </c>
      <c r="K351" s="12"/>
      <c r="L351" s="12"/>
      <c r="M351" s="12" t="s">
        <v>70</v>
      </c>
      <c r="N351" s="12"/>
    </row>
    <row r="352" customFormat="false" ht="15" hidden="false" customHeight="false" outlineLevel="0" collapsed="false">
      <c r="A352" s="13" t="s">
        <v>418</v>
      </c>
      <c r="B352" s="12" t="s">
        <v>24</v>
      </c>
      <c r="C352" s="12" t="s">
        <v>19</v>
      </c>
      <c r="D352" s="13" t="s">
        <v>419</v>
      </c>
      <c r="E352" s="14" t="n">
        <v>44426</v>
      </c>
      <c r="F352" s="15" t="n">
        <f aca="false">ROUND((IF(K352="",DATE(2026,9,30),K352)-E352)/365.25,1)</f>
        <v>4.3</v>
      </c>
      <c r="G352" s="12"/>
      <c r="H352" s="16" t="n">
        <v>45808</v>
      </c>
      <c r="I352" s="12" t="s">
        <v>241</v>
      </c>
      <c r="J352" s="12" t="s">
        <v>55</v>
      </c>
      <c r="K352" s="17" t="n">
        <v>46014</v>
      </c>
      <c r="L352" s="12"/>
      <c r="M352" s="12" t="s">
        <v>70</v>
      </c>
      <c r="N352" s="12"/>
    </row>
    <row r="353" customFormat="false" ht="15" hidden="false" customHeight="false" outlineLevel="0" collapsed="false">
      <c r="A353" s="13" t="s">
        <v>420</v>
      </c>
      <c r="B353" s="12" t="s">
        <v>24</v>
      </c>
      <c r="C353" s="12" t="s">
        <v>19</v>
      </c>
      <c r="D353" s="13" t="s">
        <v>419</v>
      </c>
      <c r="E353" s="14" t="n">
        <v>45321</v>
      </c>
      <c r="F353" s="15" t="n">
        <f aca="false">ROUND((IF(K353="",DATE(2026,9,30),K353)-E353)/365.25,1)</f>
        <v>2.7</v>
      </c>
      <c r="G353" s="12"/>
      <c r="H353" s="16" t="n">
        <v>45808</v>
      </c>
      <c r="I353" s="12" t="s">
        <v>241</v>
      </c>
      <c r="J353" s="12" t="s">
        <v>47</v>
      </c>
      <c r="K353" s="12"/>
      <c r="L353" s="12"/>
      <c r="M353" s="12" t="s">
        <v>70</v>
      </c>
      <c r="N353" s="12"/>
    </row>
    <row r="354" customFormat="false" ht="15" hidden="false" customHeight="false" outlineLevel="0" collapsed="false">
      <c r="A354" s="13" t="s">
        <v>421</v>
      </c>
      <c r="B354" s="12" t="s">
        <v>24</v>
      </c>
      <c r="C354" s="12" t="s">
        <v>19</v>
      </c>
      <c r="D354" s="13" t="s">
        <v>408</v>
      </c>
      <c r="E354" s="14" t="n">
        <v>44468</v>
      </c>
      <c r="F354" s="15" t="n">
        <f aca="false">ROUND((IF(K354="",DATE(2026,9,30),K354)-E354)/365.25,1)</f>
        <v>4.2</v>
      </c>
      <c r="G354" s="12"/>
      <c r="H354" s="16" t="n">
        <v>45808</v>
      </c>
      <c r="I354" s="12" t="s">
        <v>241</v>
      </c>
      <c r="J354" s="12" t="s">
        <v>55</v>
      </c>
      <c r="K354" s="17" t="n">
        <v>46015</v>
      </c>
      <c r="L354" s="12"/>
      <c r="M354" s="12" t="s">
        <v>70</v>
      </c>
      <c r="N354" s="12"/>
    </row>
    <row r="355" customFormat="false" ht="15" hidden="false" customHeight="false" outlineLevel="0" collapsed="false">
      <c r="A355" s="13" t="s">
        <v>422</v>
      </c>
      <c r="B355" s="12" t="s">
        <v>24</v>
      </c>
      <c r="C355" s="12" t="s">
        <v>19</v>
      </c>
      <c r="D355" s="13" t="s">
        <v>419</v>
      </c>
      <c r="E355" s="14" t="n">
        <v>44243</v>
      </c>
      <c r="F355" s="15" t="n">
        <f aca="false">ROUND((IF(K355="",DATE(2026,9,30),K355)-E355)/365.25,1)</f>
        <v>4.6</v>
      </c>
      <c r="G355" s="12"/>
      <c r="H355" s="16" t="n">
        <v>45808</v>
      </c>
      <c r="I355" s="12" t="s">
        <v>241</v>
      </c>
      <c r="J355" s="12" t="s">
        <v>42</v>
      </c>
      <c r="K355" s="17" t="n">
        <v>45934</v>
      </c>
      <c r="L355" s="12"/>
      <c r="M355" s="12" t="s">
        <v>70</v>
      </c>
      <c r="N355" s="12"/>
    </row>
    <row r="356" customFormat="false" ht="15" hidden="false" customHeight="false" outlineLevel="0" collapsed="false">
      <c r="A356" s="13" t="s">
        <v>423</v>
      </c>
      <c r="B356" s="12" t="s">
        <v>24</v>
      </c>
      <c r="C356" s="12" t="s">
        <v>19</v>
      </c>
      <c r="D356" s="13" t="s">
        <v>419</v>
      </c>
      <c r="E356" s="14" t="n">
        <v>43895</v>
      </c>
      <c r="F356" s="15" t="n">
        <f aca="false">ROUND((IF(K356="",DATE(2026,9,30),K356)-E356)/365.25,1)</f>
        <v>5.3</v>
      </c>
      <c r="G356" s="12"/>
      <c r="H356" s="16" t="n">
        <v>45808</v>
      </c>
      <c r="I356" s="12" t="s">
        <v>241</v>
      </c>
      <c r="J356" s="12" t="s">
        <v>55</v>
      </c>
      <c r="K356" s="17" t="n">
        <v>45819</v>
      </c>
      <c r="L356" s="12"/>
      <c r="M356" s="12" t="s">
        <v>70</v>
      </c>
      <c r="N356" s="12"/>
    </row>
    <row r="357" customFormat="false" ht="15" hidden="false" customHeight="false" outlineLevel="0" collapsed="false">
      <c r="A357" s="13" t="s">
        <v>424</v>
      </c>
      <c r="B357" s="12" t="s">
        <v>24</v>
      </c>
      <c r="C357" s="12" t="s">
        <v>19</v>
      </c>
      <c r="D357" s="13" t="s">
        <v>419</v>
      </c>
      <c r="E357" s="14" t="n">
        <v>44726</v>
      </c>
      <c r="F357" s="15" t="n">
        <f aca="false">ROUND((IF(K357="",DATE(2026,9,30),K357)-E357)/365.25,1)</f>
        <v>3.5</v>
      </c>
      <c r="G357" s="12"/>
      <c r="H357" s="16" t="n">
        <v>45808</v>
      </c>
      <c r="I357" s="12" t="s">
        <v>241</v>
      </c>
      <c r="J357" s="12" t="s">
        <v>55</v>
      </c>
      <c r="K357" s="17" t="n">
        <v>46019</v>
      </c>
      <c r="L357" s="12"/>
      <c r="M357" s="12" t="s">
        <v>70</v>
      </c>
      <c r="N357" s="12"/>
    </row>
    <row r="358" customFormat="false" ht="15" hidden="false" customHeight="false" outlineLevel="0" collapsed="false">
      <c r="A358" s="13" t="s">
        <v>425</v>
      </c>
      <c r="B358" s="12" t="s">
        <v>24</v>
      </c>
      <c r="C358" s="12" t="s">
        <v>19</v>
      </c>
      <c r="D358" s="13" t="s">
        <v>408</v>
      </c>
      <c r="E358" s="14" t="n">
        <v>44438</v>
      </c>
      <c r="F358" s="15" t="n">
        <f aca="false">ROUND((IF(K358="",DATE(2026,9,30),K358)-E358)/365.25,1)</f>
        <v>5.1</v>
      </c>
      <c r="G358" s="12"/>
      <c r="H358" s="16" t="n">
        <v>45808</v>
      </c>
      <c r="I358" s="12" t="s">
        <v>241</v>
      </c>
      <c r="J358" s="12" t="s">
        <v>47</v>
      </c>
      <c r="K358" s="12"/>
      <c r="L358" s="12"/>
      <c r="M358" s="12" t="s">
        <v>70</v>
      </c>
      <c r="N358" s="12"/>
    </row>
    <row r="359" customFormat="false" ht="15" hidden="false" customHeight="false" outlineLevel="0" collapsed="false">
      <c r="A359" s="13" t="s">
        <v>426</v>
      </c>
      <c r="B359" s="12" t="s">
        <v>24</v>
      </c>
      <c r="C359" s="12" t="s">
        <v>19</v>
      </c>
      <c r="D359" s="13" t="s">
        <v>419</v>
      </c>
      <c r="E359" s="14" t="n">
        <v>44302</v>
      </c>
      <c r="F359" s="15" t="n">
        <f aca="false">ROUND((IF(K359="",DATE(2026,9,30),K359)-E359)/365.25,1)</f>
        <v>4.7</v>
      </c>
      <c r="G359" s="12"/>
      <c r="H359" s="16" t="n">
        <v>45808</v>
      </c>
      <c r="I359" s="12" t="s">
        <v>241</v>
      </c>
      <c r="J359" s="12" t="s">
        <v>55</v>
      </c>
      <c r="K359" s="17" t="n">
        <v>46015</v>
      </c>
      <c r="L359" s="12"/>
      <c r="M359" s="12" t="s">
        <v>70</v>
      </c>
      <c r="N359" s="12"/>
    </row>
    <row r="360" customFormat="false" ht="15" hidden="false" customHeight="false" outlineLevel="0" collapsed="false">
      <c r="A360" s="13" t="s">
        <v>427</v>
      </c>
      <c r="B360" s="12" t="s">
        <v>24</v>
      </c>
      <c r="C360" s="12" t="s">
        <v>19</v>
      </c>
      <c r="D360" s="13" t="s">
        <v>410</v>
      </c>
      <c r="E360" s="14" t="n">
        <v>45184</v>
      </c>
      <c r="F360" s="15" t="n">
        <f aca="false">ROUND((IF(K360="",DATE(2026,9,30),K360)-E360)/365.25,1)</f>
        <v>3</v>
      </c>
      <c r="G360" s="12"/>
      <c r="H360" s="16" t="n">
        <v>45808</v>
      </c>
      <c r="I360" s="12" t="s">
        <v>241</v>
      </c>
      <c r="J360" s="12" t="s">
        <v>47</v>
      </c>
      <c r="K360" s="12"/>
      <c r="L360" s="12"/>
      <c r="M360" s="12" t="s">
        <v>70</v>
      </c>
      <c r="N360" s="12"/>
    </row>
    <row r="361" customFormat="false" ht="15" hidden="false" customHeight="false" outlineLevel="0" collapsed="false">
      <c r="A361" s="13" t="s">
        <v>428</v>
      </c>
      <c r="B361" s="12" t="s">
        <v>24</v>
      </c>
      <c r="C361" s="12" t="s">
        <v>19</v>
      </c>
      <c r="D361" s="13" t="s">
        <v>408</v>
      </c>
      <c r="E361" s="14" t="n">
        <v>44522</v>
      </c>
      <c r="F361" s="15" t="n">
        <f aca="false">ROUND((IF(K361="",DATE(2026,9,30),K361)-E361)/365.25,1)</f>
        <v>4.4</v>
      </c>
      <c r="G361" s="12"/>
      <c r="H361" s="16" t="n">
        <v>45808</v>
      </c>
      <c r="I361" s="12" t="s">
        <v>241</v>
      </c>
      <c r="J361" s="12" t="s">
        <v>55</v>
      </c>
      <c r="K361" s="17" t="n">
        <v>46116</v>
      </c>
      <c r="L361" s="12"/>
      <c r="M361" s="12" t="s">
        <v>70</v>
      </c>
      <c r="N361" s="12"/>
    </row>
    <row r="362" customFormat="false" ht="15" hidden="false" customHeight="false" outlineLevel="0" collapsed="false">
      <c r="A362" s="13" t="s">
        <v>429</v>
      </c>
      <c r="B362" s="12" t="s">
        <v>24</v>
      </c>
      <c r="C362" s="12" t="s">
        <v>19</v>
      </c>
      <c r="D362" s="13" t="s">
        <v>410</v>
      </c>
      <c r="E362" s="14" t="n">
        <v>45242</v>
      </c>
      <c r="F362" s="15" t="n">
        <f aca="false">ROUND((IF(K362="",DATE(2026,9,30),K362)-E362)/365.25,1)</f>
        <v>2.5</v>
      </c>
      <c r="G362" s="12"/>
      <c r="H362" s="16" t="n">
        <v>45808</v>
      </c>
      <c r="I362" s="12" t="s">
        <v>241</v>
      </c>
      <c r="J362" s="12" t="s">
        <v>55</v>
      </c>
      <c r="K362" s="17" t="n">
        <v>46170</v>
      </c>
      <c r="L362" s="12"/>
      <c r="M362" s="12" t="s">
        <v>70</v>
      </c>
      <c r="N362" s="12"/>
    </row>
    <row r="363" customFormat="false" ht="15" hidden="false" customHeight="false" outlineLevel="0" collapsed="false">
      <c r="A363" s="13" t="s">
        <v>430</v>
      </c>
      <c r="B363" s="12" t="s">
        <v>24</v>
      </c>
      <c r="C363" s="12" t="s">
        <v>19</v>
      </c>
      <c r="D363" s="13" t="s">
        <v>408</v>
      </c>
      <c r="E363" s="14" t="n">
        <v>44290</v>
      </c>
      <c r="F363" s="15" t="n">
        <f aca="false">ROUND((IF(K363="",DATE(2026,9,30),K363)-E363)/365.25,1)</f>
        <v>4.7</v>
      </c>
      <c r="G363" s="12"/>
      <c r="H363" s="16" t="n">
        <v>45808</v>
      </c>
      <c r="I363" s="12" t="s">
        <v>241</v>
      </c>
      <c r="J363" s="12" t="s">
        <v>55</v>
      </c>
      <c r="K363" s="17" t="n">
        <v>46008</v>
      </c>
      <c r="L363" s="12"/>
      <c r="M363" s="12" t="s">
        <v>70</v>
      </c>
      <c r="N363" s="12"/>
    </row>
    <row r="364" customFormat="false" ht="15" hidden="false" customHeight="false" outlineLevel="0" collapsed="false">
      <c r="A364" s="13" t="s">
        <v>431</v>
      </c>
      <c r="B364" s="12" t="s">
        <v>24</v>
      </c>
      <c r="C364" s="12" t="s">
        <v>19</v>
      </c>
      <c r="D364" s="13" t="s">
        <v>410</v>
      </c>
      <c r="E364" s="14" t="n">
        <v>45165</v>
      </c>
      <c r="F364" s="15" t="n">
        <f aca="false">ROUND((IF(K364="",DATE(2026,9,30),K364)-E364)/365.25,1)</f>
        <v>2.9</v>
      </c>
      <c r="G364" s="12"/>
      <c r="H364" s="16" t="n">
        <v>45808</v>
      </c>
      <c r="I364" s="12" t="s">
        <v>241</v>
      </c>
      <c r="J364" s="12" t="s">
        <v>55</v>
      </c>
      <c r="K364" s="17" t="n">
        <v>46217</v>
      </c>
      <c r="L364" s="12"/>
      <c r="M364" s="12" t="s">
        <v>70</v>
      </c>
      <c r="N364" s="12"/>
    </row>
    <row r="365" customFormat="false" ht="15" hidden="false" customHeight="false" outlineLevel="0" collapsed="false">
      <c r="A365" s="13" t="s">
        <v>432</v>
      </c>
      <c r="B365" s="12" t="s">
        <v>24</v>
      </c>
      <c r="C365" s="12" t="s">
        <v>19</v>
      </c>
      <c r="D365" s="13" t="s">
        <v>419</v>
      </c>
      <c r="E365" s="14" t="n">
        <v>43777</v>
      </c>
      <c r="F365" s="15" t="n">
        <f aca="false">ROUND((IF(K365="",DATE(2026,9,30),K365)-E365)/365.25,1)</f>
        <v>6.1</v>
      </c>
      <c r="G365" s="12"/>
      <c r="H365" s="16" t="n">
        <v>45808</v>
      </c>
      <c r="I365" s="12" t="s">
        <v>241</v>
      </c>
      <c r="J365" s="12" t="s">
        <v>55</v>
      </c>
      <c r="K365" s="17" t="n">
        <v>46018</v>
      </c>
      <c r="L365" s="12"/>
      <c r="M365" s="12" t="s">
        <v>70</v>
      </c>
      <c r="N365" s="12"/>
    </row>
    <row r="366" customFormat="false" ht="15" hidden="false" customHeight="false" outlineLevel="0" collapsed="false">
      <c r="A366" s="13" t="s">
        <v>433</v>
      </c>
      <c r="B366" s="12" t="s">
        <v>24</v>
      </c>
      <c r="C366" s="12" t="s">
        <v>19</v>
      </c>
      <c r="D366" s="13" t="s">
        <v>419</v>
      </c>
      <c r="E366" s="14" t="n">
        <v>44397</v>
      </c>
      <c r="F366" s="15" t="n">
        <f aca="false">ROUND((IF(K366="",DATE(2026,9,30),K366)-E366)/365.25,1)</f>
        <v>4.4</v>
      </c>
      <c r="G366" s="12"/>
      <c r="H366" s="16" t="n">
        <v>45808</v>
      </c>
      <c r="I366" s="12" t="s">
        <v>241</v>
      </c>
      <c r="J366" s="12" t="s">
        <v>55</v>
      </c>
      <c r="K366" s="17" t="n">
        <v>46013</v>
      </c>
      <c r="L366" s="12"/>
      <c r="M366" s="12" t="s">
        <v>70</v>
      </c>
      <c r="N366" s="12"/>
    </row>
    <row r="367" customFormat="false" ht="15" hidden="false" customHeight="false" outlineLevel="0" collapsed="false">
      <c r="A367" s="13" t="s">
        <v>434</v>
      </c>
      <c r="B367" s="12" t="s">
        <v>24</v>
      </c>
      <c r="C367" s="12" t="s">
        <v>19</v>
      </c>
      <c r="D367" s="13" t="s">
        <v>408</v>
      </c>
      <c r="E367" s="14" t="n">
        <v>43919</v>
      </c>
      <c r="F367" s="15" t="n">
        <f aca="false">ROUND((IF(K367="",DATE(2026,9,30),K367)-E367)/365.25,1)</f>
        <v>6.5</v>
      </c>
      <c r="G367" s="12"/>
      <c r="H367" s="16" t="n">
        <v>45808</v>
      </c>
      <c r="I367" s="12" t="s">
        <v>241</v>
      </c>
      <c r="J367" s="12" t="s">
        <v>47</v>
      </c>
      <c r="K367" s="12"/>
      <c r="L367" s="12"/>
      <c r="M367" s="12" t="s">
        <v>70</v>
      </c>
      <c r="N367" s="12"/>
    </row>
    <row r="368" customFormat="false" ht="15" hidden="false" customHeight="false" outlineLevel="0" collapsed="false">
      <c r="A368" s="13" t="s">
        <v>435</v>
      </c>
      <c r="B368" s="12" t="s">
        <v>24</v>
      </c>
      <c r="C368" s="12" t="s">
        <v>19</v>
      </c>
      <c r="D368" s="13" t="s">
        <v>408</v>
      </c>
      <c r="E368" s="14" t="n">
        <v>43942</v>
      </c>
      <c r="F368" s="15" t="n">
        <f aca="false">ROUND((IF(K368="",DATE(2026,9,30),K368)-E368)/365.25,1)</f>
        <v>5.2</v>
      </c>
      <c r="G368" s="12"/>
      <c r="H368" s="16" t="n">
        <v>45808</v>
      </c>
      <c r="I368" s="12" t="s">
        <v>241</v>
      </c>
      <c r="J368" s="12" t="s">
        <v>42</v>
      </c>
      <c r="K368" s="17" t="n">
        <v>45829</v>
      </c>
      <c r="L368" s="12"/>
      <c r="M368" s="12" t="s">
        <v>70</v>
      </c>
      <c r="N368" s="12"/>
    </row>
    <row r="369" customFormat="false" ht="15" hidden="false" customHeight="false" outlineLevel="0" collapsed="false">
      <c r="A369" s="13" t="s">
        <v>436</v>
      </c>
      <c r="B369" s="12" t="s">
        <v>24</v>
      </c>
      <c r="C369" s="12" t="s">
        <v>20</v>
      </c>
      <c r="D369" s="13" t="s">
        <v>419</v>
      </c>
      <c r="E369" s="14" t="n">
        <v>44766</v>
      </c>
      <c r="F369" s="15" t="n">
        <f aca="false">ROUND((IF(K369="",DATE(2026,9,30),K369)-E369)/365.25,1)</f>
        <v>4.2</v>
      </c>
      <c r="G369" s="12"/>
      <c r="H369" s="16" t="n">
        <v>45808</v>
      </c>
      <c r="I369" s="12" t="s">
        <v>241</v>
      </c>
      <c r="J369" s="12" t="s">
        <v>47</v>
      </c>
      <c r="K369" s="12"/>
      <c r="L369" s="12"/>
      <c r="M369" s="12" t="s">
        <v>70</v>
      </c>
      <c r="N369" s="12" t="s">
        <v>267</v>
      </c>
    </row>
    <row r="370" customFormat="false" ht="15" hidden="false" customHeight="false" outlineLevel="0" collapsed="false">
      <c r="A370" s="13" t="s">
        <v>437</v>
      </c>
      <c r="B370" s="12" t="s">
        <v>24</v>
      </c>
      <c r="C370" s="12" t="s">
        <v>19</v>
      </c>
      <c r="D370" s="13" t="s">
        <v>419</v>
      </c>
      <c r="E370" s="14" t="n">
        <v>44006</v>
      </c>
      <c r="F370" s="15" t="n">
        <f aca="false">ROUND((IF(K370="",DATE(2026,9,30),K370)-E370)/365.25,1)</f>
        <v>5</v>
      </c>
      <c r="G370" s="12"/>
      <c r="H370" s="16" t="n">
        <v>45808</v>
      </c>
      <c r="I370" s="12" t="s">
        <v>241</v>
      </c>
      <c r="J370" s="12" t="s">
        <v>55</v>
      </c>
      <c r="K370" s="17" t="n">
        <v>45819</v>
      </c>
      <c r="L370" s="12"/>
      <c r="M370" s="12" t="s">
        <v>70</v>
      </c>
      <c r="N370" s="12"/>
    </row>
    <row r="371" customFormat="false" ht="15" hidden="false" customHeight="false" outlineLevel="0" collapsed="false">
      <c r="A371" s="13" t="s">
        <v>438</v>
      </c>
      <c r="B371" s="12" t="s">
        <v>24</v>
      </c>
      <c r="C371" s="12" t="s">
        <v>19</v>
      </c>
      <c r="D371" s="13" t="s">
        <v>410</v>
      </c>
      <c r="E371" s="14" t="n">
        <v>43954</v>
      </c>
      <c r="F371" s="15" t="n">
        <f aca="false">ROUND((IF(K371="",DATE(2026,9,30),K371)-E371)/365.25,1)</f>
        <v>6.4</v>
      </c>
      <c r="G371" s="12"/>
      <c r="H371" s="16" t="n">
        <v>45808</v>
      </c>
      <c r="I371" s="12" t="s">
        <v>241</v>
      </c>
      <c r="J371" s="12" t="s">
        <v>47</v>
      </c>
      <c r="K371" s="12"/>
      <c r="L371" s="12"/>
      <c r="M371" s="12" t="s">
        <v>70</v>
      </c>
      <c r="N371" s="12"/>
    </row>
    <row r="372" customFormat="false" ht="15" hidden="false" customHeight="false" outlineLevel="0" collapsed="false">
      <c r="A372" s="13" t="s">
        <v>439</v>
      </c>
      <c r="B372" s="12" t="s">
        <v>24</v>
      </c>
      <c r="C372" s="12" t="s">
        <v>19</v>
      </c>
      <c r="D372" s="13" t="s">
        <v>410</v>
      </c>
      <c r="E372" s="14" t="n">
        <v>44974</v>
      </c>
      <c r="F372" s="15" t="n">
        <f aca="false">ROUND((IF(K372="",DATE(2026,9,30),K372)-E372)/365.25,1)</f>
        <v>3.6</v>
      </c>
      <c r="G372" s="12"/>
      <c r="H372" s="16" t="n">
        <v>45808</v>
      </c>
      <c r="I372" s="12" t="s">
        <v>241</v>
      </c>
      <c r="J372" s="12" t="s">
        <v>47</v>
      </c>
      <c r="K372" s="12"/>
      <c r="L372" s="12"/>
      <c r="M372" s="12" t="s">
        <v>70</v>
      </c>
      <c r="N372" s="12"/>
    </row>
    <row r="373" customFormat="false" ht="15" hidden="false" customHeight="false" outlineLevel="0" collapsed="false">
      <c r="A373" s="13" t="s">
        <v>440</v>
      </c>
      <c r="B373" s="12" t="s">
        <v>24</v>
      </c>
      <c r="C373" s="12" t="s">
        <v>19</v>
      </c>
      <c r="D373" s="13" t="s">
        <v>408</v>
      </c>
      <c r="E373" s="14" t="n">
        <v>44613</v>
      </c>
      <c r="F373" s="15" t="n">
        <f aca="false">ROUND((IF(K373="",DATE(2026,9,30),K373)-E373)/365.25,1)</f>
        <v>4.6</v>
      </c>
      <c r="G373" s="12"/>
      <c r="H373" s="16" t="n">
        <v>45808</v>
      </c>
      <c r="I373" s="12" t="s">
        <v>241</v>
      </c>
      <c r="J373" s="12" t="s">
        <v>47</v>
      </c>
      <c r="K373" s="12"/>
      <c r="L373" s="12"/>
      <c r="M373" s="12" t="s">
        <v>70</v>
      </c>
      <c r="N373" s="12"/>
    </row>
    <row r="374" customFormat="false" ht="15" hidden="false" customHeight="false" outlineLevel="0" collapsed="false">
      <c r="A374" s="13" t="s">
        <v>441</v>
      </c>
      <c r="B374" s="12" t="s">
        <v>24</v>
      </c>
      <c r="C374" s="12" t="s">
        <v>19</v>
      </c>
      <c r="D374" s="13" t="s">
        <v>408</v>
      </c>
      <c r="E374" s="14" t="n">
        <v>44789</v>
      </c>
      <c r="F374" s="15" t="n">
        <f aca="false">ROUND((IF(K374="",DATE(2026,9,30),K374)-E374)/365.25,1)</f>
        <v>3.4</v>
      </c>
      <c r="G374" s="12"/>
      <c r="H374" s="16" t="n">
        <v>45808</v>
      </c>
      <c r="I374" s="12" t="s">
        <v>241</v>
      </c>
      <c r="J374" s="12" t="s">
        <v>55</v>
      </c>
      <c r="K374" s="17" t="n">
        <v>46014</v>
      </c>
      <c r="L374" s="12"/>
      <c r="M374" s="12" t="s">
        <v>70</v>
      </c>
      <c r="N374" s="12"/>
    </row>
    <row r="375" customFormat="false" ht="15" hidden="false" customHeight="false" outlineLevel="0" collapsed="false">
      <c r="A375" s="13" t="s">
        <v>442</v>
      </c>
      <c r="B375" s="12" t="s">
        <v>24</v>
      </c>
      <c r="C375" s="12" t="s">
        <v>19</v>
      </c>
      <c r="D375" s="13" t="s">
        <v>410</v>
      </c>
      <c r="E375" s="14" t="n">
        <v>44219</v>
      </c>
      <c r="F375" s="15" t="n">
        <f aca="false">ROUND((IF(K375="",DATE(2026,9,30),K375)-E375)/365.25,1)</f>
        <v>4.9</v>
      </c>
      <c r="G375" s="12"/>
      <c r="H375" s="16" t="n">
        <v>45808</v>
      </c>
      <c r="I375" s="12" t="s">
        <v>241</v>
      </c>
      <c r="J375" s="12" t="s">
        <v>55</v>
      </c>
      <c r="K375" s="17" t="n">
        <v>46007</v>
      </c>
      <c r="L375" s="12"/>
      <c r="M375" s="12" t="s">
        <v>70</v>
      </c>
      <c r="N375" s="12"/>
    </row>
    <row r="376" customFormat="false" ht="15" hidden="false" customHeight="false" outlineLevel="0" collapsed="false">
      <c r="A376" s="13" t="s">
        <v>443</v>
      </c>
      <c r="B376" s="12" t="s">
        <v>24</v>
      </c>
      <c r="C376" s="12" t="s">
        <v>19</v>
      </c>
      <c r="D376" s="13" t="s">
        <v>419</v>
      </c>
      <c r="E376" s="14" t="n">
        <v>44664</v>
      </c>
      <c r="F376" s="15" t="n">
        <f aca="false">ROUND((IF(K376="",DATE(2026,9,30),K376)-E376)/365.25,1)</f>
        <v>3.7</v>
      </c>
      <c r="G376" s="12"/>
      <c r="H376" s="16" t="n">
        <v>45808</v>
      </c>
      <c r="I376" s="12" t="s">
        <v>241</v>
      </c>
      <c r="J376" s="12" t="s">
        <v>55</v>
      </c>
      <c r="K376" s="17" t="n">
        <v>46021</v>
      </c>
      <c r="L376" s="12"/>
      <c r="M376" s="12" t="s">
        <v>70</v>
      </c>
      <c r="N376" s="12"/>
    </row>
    <row r="377" customFormat="false" ht="15" hidden="false" customHeight="false" outlineLevel="0" collapsed="false">
      <c r="A377" s="13" t="s">
        <v>444</v>
      </c>
      <c r="B377" s="12" t="s">
        <v>24</v>
      </c>
      <c r="C377" s="12" t="s">
        <v>19</v>
      </c>
      <c r="D377" s="13" t="s">
        <v>410</v>
      </c>
      <c r="E377" s="14" t="n">
        <v>45026</v>
      </c>
      <c r="F377" s="15" t="n">
        <f aca="false">ROUND((IF(K377="",DATE(2026,9,30),K377)-E377)/365.25,1)</f>
        <v>2.5</v>
      </c>
      <c r="G377" s="12"/>
      <c r="H377" s="16" t="n">
        <v>45808</v>
      </c>
      <c r="I377" s="12" t="s">
        <v>241</v>
      </c>
      <c r="J377" s="12" t="s">
        <v>42</v>
      </c>
      <c r="K377" s="17" t="n">
        <v>45936</v>
      </c>
      <c r="L377" s="12"/>
      <c r="M377" s="12" t="s">
        <v>70</v>
      </c>
      <c r="N377" s="12"/>
    </row>
    <row r="378" customFormat="false" ht="15" hidden="false" customHeight="false" outlineLevel="0" collapsed="false">
      <c r="A378" s="13" t="s">
        <v>445</v>
      </c>
      <c r="B378" s="12" t="s">
        <v>24</v>
      </c>
      <c r="C378" s="12" t="s">
        <v>19</v>
      </c>
      <c r="D378" s="13" t="s">
        <v>408</v>
      </c>
      <c r="E378" s="14" t="n">
        <v>44985</v>
      </c>
      <c r="F378" s="15" t="n">
        <f aca="false">ROUND((IF(K378="",DATE(2026,9,30),K378)-E378)/365.25,1)</f>
        <v>3.6</v>
      </c>
      <c r="G378" s="12"/>
      <c r="H378" s="16" t="n">
        <v>45808</v>
      </c>
      <c r="I378" s="12" t="s">
        <v>241</v>
      </c>
      <c r="J378" s="12" t="s">
        <v>47</v>
      </c>
      <c r="K378" s="12"/>
      <c r="L378" s="12"/>
      <c r="M378" s="12" t="s">
        <v>70</v>
      </c>
      <c r="N378" s="12"/>
    </row>
    <row r="379" customFormat="false" ht="15" hidden="false" customHeight="false" outlineLevel="0" collapsed="false">
      <c r="A379" s="13" t="s">
        <v>446</v>
      </c>
      <c r="B379" s="12" t="s">
        <v>24</v>
      </c>
      <c r="C379" s="12" t="s">
        <v>19</v>
      </c>
      <c r="D379" s="13" t="s">
        <v>410</v>
      </c>
      <c r="E379" s="14" t="n">
        <v>43759</v>
      </c>
      <c r="F379" s="15" t="n">
        <f aca="false">ROUND((IF(K379="",DATE(2026,9,30),K379)-E379)/365.25,1)</f>
        <v>6.2</v>
      </c>
      <c r="G379" s="12"/>
      <c r="H379" s="16" t="n">
        <v>45808</v>
      </c>
      <c r="I379" s="12" t="s">
        <v>241</v>
      </c>
      <c r="J379" s="12" t="s">
        <v>55</v>
      </c>
      <c r="K379" s="17" t="n">
        <v>46009</v>
      </c>
      <c r="L379" s="12"/>
      <c r="M379" s="12" t="s">
        <v>70</v>
      </c>
      <c r="N379" s="12"/>
    </row>
    <row r="380" customFormat="false" ht="15" hidden="false" customHeight="false" outlineLevel="0" collapsed="false">
      <c r="A380" s="13" t="s">
        <v>447</v>
      </c>
      <c r="B380" s="12" t="s">
        <v>24</v>
      </c>
      <c r="C380" s="12" t="s">
        <v>19</v>
      </c>
      <c r="D380" s="13" t="s">
        <v>408</v>
      </c>
      <c r="E380" s="14" t="n">
        <v>44653</v>
      </c>
      <c r="F380" s="15" t="n">
        <f aca="false">ROUND((IF(K380="",DATE(2026,9,30),K380)-E380)/365.25,1)</f>
        <v>3.4</v>
      </c>
      <c r="G380" s="12"/>
      <c r="H380" s="16" t="n">
        <v>45808</v>
      </c>
      <c r="I380" s="12" t="s">
        <v>241</v>
      </c>
      <c r="J380" s="12" t="s">
        <v>42</v>
      </c>
      <c r="K380" s="17" t="n">
        <v>45904</v>
      </c>
      <c r="L380" s="12"/>
      <c r="M380" s="12" t="s">
        <v>70</v>
      </c>
      <c r="N380" s="12"/>
    </row>
    <row r="381" customFormat="false" ht="15" hidden="false" customHeight="false" outlineLevel="0" collapsed="false">
      <c r="A381" s="13" t="s">
        <v>448</v>
      </c>
      <c r="B381" s="12" t="s">
        <v>24</v>
      </c>
      <c r="C381" s="12" t="s">
        <v>19</v>
      </c>
      <c r="D381" s="13" t="s">
        <v>419</v>
      </c>
      <c r="E381" s="14" t="n">
        <v>44702</v>
      </c>
      <c r="F381" s="15" t="n">
        <f aca="false">ROUND((IF(K381="",DATE(2026,9,30),K381)-E381)/365.25,1)</f>
        <v>3.6</v>
      </c>
      <c r="G381" s="12"/>
      <c r="H381" s="16" t="n">
        <v>45808</v>
      </c>
      <c r="I381" s="12" t="s">
        <v>241</v>
      </c>
      <c r="J381" s="12" t="s">
        <v>81</v>
      </c>
      <c r="K381" s="17" t="n">
        <v>46014</v>
      </c>
      <c r="L381" s="12"/>
      <c r="M381" s="12" t="s">
        <v>70</v>
      </c>
      <c r="N381" s="12"/>
    </row>
    <row r="382" customFormat="false" ht="15" hidden="false" customHeight="false" outlineLevel="0" collapsed="false">
      <c r="A382" s="13" t="s">
        <v>449</v>
      </c>
      <c r="B382" s="12" t="s">
        <v>24</v>
      </c>
      <c r="C382" s="12" t="s">
        <v>19</v>
      </c>
      <c r="D382" s="13" t="s">
        <v>408</v>
      </c>
      <c r="E382" s="14" t="n">
        <v>44597</v>
      </c>
      <c r="F382" s="15" t="n">
        <f aca="false">ROUND((IF(K382="",DATE(2026,9,30),K382)-E382)/365.25,1)</f>
        <v>3.7</v>
      </c>
      <c r="G382" s="12"/>
      <c r="H382" s="16" t="n">
        <v>45808</v>
      </c>
      <c r="I382" s="12" t="s">
        <v>241</v>
      </c>
      <c r="J382" s="12" t="s">
        <v>42</v>
      </c>
      <c r="K382" s="17" t="n">
        <v>45948</v>
      </c>
      <c r="L382" s="12"/>
      <c r="M382" s="12" t="s">
        <v>70</v>
      </c>
      <c r="N382" s="12"/>
    </row>
    <row r="383" customFormat="false" ht="15" hidden="false" customHeight="false" outlineLevel="0" collapsed="false">
      <c r="A383" s="13" t="s">
        <v>450</v>
      </c>
      <c r="B383" s="12" t="s">
        <v>24</v>
      </c>
      <c r="C383" s="12" t="s">
        <v>19</v>
      </c>
      <c r="D383" s="13" t="s">
        <v>419</v>
      </c>
      <c r="E383" s="14" t="n">
        <v>44220</v>
      </c>
      <c r="F383" s="15" t="n">
        <f aca="false">ROUND((IF(K383="",DATE(2026,9,30),K383)-E383)/365.25,1)</f>
        <v>4.6</v>
      </c>
      <c r="G383" s="12"/>
      <c r="H383" s="16" t="n">
        <v>45808</v>
      </c>
      <c r="I383" s="12" t="s">
        <v>241</v>
      </c>
      <c r="J383" s="12" t="s">
        <v>55</v>
      </c>
      <c r="K383" s="17" t="n">
        <v>45897</v>
      </c>
      <c r="L383" s="12"/>
      <c r="M383" s="12" t="s">
        <v>70</v>
      </c>
      <c r="N383" s="12"/>
    </row>
    <row r="384" customFormat="false" ht="15" hidden="false" customHeight="false" outlineLevel="0" collapsed="false">
      <c r="A384" s="13" t="s">
        <v>451</v>
      </c>
      <c r="B384" s="12" t="s">
        <v>24</v>
      </c>
      <c r="C384" s="12" t="s">
        <v>19</v>
      </c>
      <c r="D384" s="13" t="s">
        <v>410</v>
      </c>
      <c r="E384" s="14" t="n">
        <v>44615</v>
      </c>
      <c r="F384" s="15" t="n">
        <f aca="false">ROUND((IF(K384="",DATE(2026,9,30),K384)-E384)/365.25,1)</f>
        <v>4.6</v>
      </c>
      <c r="G384" s="12"/>
      <c r="H384" s="16" t="n">
        <v>45808</v>
      </c>
      <c r="I384" s="12" t="s">
        <v>241</v>
      </c>
      <c r="J384" s="12" t="s">
        <v>47</v>
      </c>
      <c r="K384" s="12"/>
      <c r="L384" s="12"/>
      <c r="M384" s="12" t="s">
        <v>70</v>
      </c>
      <c r="N384" s="12"/>
    </row>
    <row r="385" customFormat="false" ht="15" hidden="false" customHeight="false" outlineLevel="0" collapsed="false">
      <c r="A385" s="13" t="s">
        <v>452</v>
      </c>
      <c r="B385" s="12" t="s">
        <v>24</v>
      </c>
      <c r="C385" s="12" t="s">
        <v>19</v>
      </c>
      <c r="D385" s="13" t="s">
        <v>410</v>
      </c>
      <c r="E385" s="14" t="n">
        <v>43906</v>
      </c>
      <c r="F385" s="15" t="n">
        <f aca="false">ROUND((IF(K385="",DATE(2026,9,30),K385)-E385)/365.25,1)</f>
        <v>5.8</v>
      </c>
      <c r="G385" s="12"/>
      <c r="H385" s="16" t="n">
        <v>45808</v>
      </c>
      <c r="I385" s="12" t="s">
        <v>241</v>
      </c>
      <c r="J385" s="12" t="s">
        <v>55</v>
      </c>
      <c r="K385" s="17" t="n">
        <v>46009</v>
      </c>
      <c r="L385" s="12"/>
      <c r="M385" s="12" t="s">
        <v>70</v>
      </c>
      <c r="N385" s="12"/>
    </row>
    <row r="386" customFormat="false" ht="15" hidden="false" customHeight="false" outlineLevel="0" collapsed="false">
      <c r="A386" s="13" t="s">
        <v>453</v>
      </c>
      <c r="B386" s="12" t="s">
        <v>24</v>
      </c>
      <c r="C386" s="12" t="s">
        <v>20</v>
      </c>
      <c r="D386" s="13" t="s">
        <v>410</v>
      </c>
      <c r="E386" s="14" t="n">
        <v>44904</v>
      </c>
      <c r="F386" s="15" t="n">
        <f aca="false">ROUND((IF(K386="",DATE(2026,9,30),K386)-E386)/365.25,1)</f>
        <v>3.8</v>
      </c>
      <c r="G386" s="12"/>
      <c r="H386" s="16" t="n">
        <v>45808</v>
      </c>
      <c r="I386" s="12" t="s">
        <v>241</v>
      </c>
      <c r="J386" s="12" t="s">
        <v>47</v>
      </c>
      <c r="K386" s="12"/>
      <c r="L386" s="12"/>
      <c r="M386" s="12" t="s">
        <v>70</v>
      </c>
      <c r="N386" s="12" t="s">
        <v>267</v>
      </c>
    </row>
    <row r="387" customFormat="false" ht="15" hidden="false" customHeight="false" outlineLevel="0" collapsed="false">
      <c r="A387" s="13" t="s">
        <v>454</v>
      </c>
      <c r="B387" s="12" t="s">
        <v>24</v>
      </c>
      <c r="C387" s="12" t="s">
        <v>19</v>
      </c>
      <c r="D387" s="13" t="s">
        <v>408</v>
      </c>
      <c r="E387" s="14" t="n">
        <v>44909</v>
      </c>
      <c r="F387" s="15" t="n">
        <f aca="false">ROUND((IF(K387="",DATE(2026,9,30),K387)-E387)/365.25,1)</f>
        <v>3</v>
      </c>
      <c r="G387" s="12"/>
      <c r="H387" s="16" t="n">
        <v>45808</v>
      </c>
      <c r="I387" s="12" t="s">
        <v>241</v>
      </c>
      <c r="J387" s="12" t="s">
        <v>55</v>
      </c>
      <c r="K387" s="17" t="n">
        <v>46013</v>
      </c>
      <c r="L387" s="12"/>
      <c r="M387" s="12" t="s">
        <v>70</v>
      </c>
      <c r="N387" s="12"/>
    </row>
    <row r="388" customFormat="false" ht="15" hidden="false" customHeight="false" outlineLevel="0" collapsed="false">
      <c r="A388" s="13" t="s">
        <v>455</v>
      </c>
      <c r="B388" s="12" t="s">
        <v>24</v>
      </c>
      <c r="C388" s="12" t="s">
        <v>20</v>
      </c>
      <c r="D388" s="13" t="s">
        <v>419</v>
      </c>
      <c r="E388" s="14" t="n">
        <v>44272</v>
      </c>
      <c r="F388" s="15" t="n">
        <f aca="false">ROUND((IF(K388="",DATE(2026,9,30),K388)-E388)/365.25,1)</f>
        <v>5.5</v>
      </c>
      <c r="G388" s="12"/>
      <c r="H388" s="16" t="n">
        <v>45808</v>
      </c>
      <c r="I388" s="12" t="s">
        <v>241</v>
      </c>
      <c r="J388" s="12" t="s">
        <v>47</v>
      </c>
      <c r="K388" s="12"/>
      <c r="L388" s="12"/>
      <c r="M388" s="12" t="s">
        <v>70</v>
      </c>
      <c r="N388" s="12"/>
    </row>
    <row r="389" customFormat="false" ht="15" hidden="false" customHeight="false" outlineLevel="0" collapsed="false">
      <c r="A389" s="13" t="s">
        <v>456</v>
      </c>
      <c r="B389" s="12" t="s">
        <v>24</v>
      </c>
      <c r="C389" s="12" t="s">
        <v>20</v>
      </c>
      <c r="D389" s="13" t="s">
        <v>419</v>
      </c>
      <c r="E389" s="14" t="n">
        <v>44789</v>
      </c>
      <c r="F389" s="15" t="n">
        <f aca="false">ROUND((IF(K389="",DATE(2026,9,30),K389)-E389)/365.25,1)</f>
        <v>4.1</v>
      </c>
      <c r="G389" s="12"/>
      <c r="H389" s="16" t="n">
        <v>45808</v>
      </c>
      <c r="I389" s="12" t="s">
        <v>241</v>
      </c>
      <c r="J389" s="12" t="s">
        <v>47</v>
      </c>
      <c r="K389" s="12"/>
      <c r="L389" s="12"/>
      <c r="M389" s="12" t="s">
        <v>70</v>
      </c>
      <c r="N389" s="12"/>
    </row>
    <row r="390" customFormat="false" ht="15" hidden="false" customHeight="false" outlineLevel="0" collapsed="false">
      <c r="A390" s="13" t="s">
        <v>457</v>
      </c>
      <c r="B390" s="12" t="s">
        <v>24</v>
      </c>
      <c r="C390" s="12" t="s">
        <v>20</v>
      </c>
      <c r="D390" s="13" t="s">
        <v>419</v>
      </c>
      <c r="E390" s="14" t="n">
        <v>44387</v>
      </c>
      <c r="F390" s="15" t="n">
        <f aca="false">ROUND((IF(K390="",DATE(2026,9,30),K390)-E390)/365.25,1)</f>
        <v>5.2</v>
      </c>
      <c r="G390" s="12"/>
      <c r="H390" s="16" t="n">
        <v>45808</v>
      </c>
      <c r="I390" s="12" t="s">
        <v>241</v>
      </c>
      <c r="J390" s="12" t="s">
        <v>47</v>
      </c>
      <c r="K390" s="12"/>
      <c r="L390" s="12"/>
      <c r="M390" s="12" t="s">
        <v>70</v>
      </c>
      <c r="N390" s="12"/>
    </row>
    <row r="391" customFormat="false" ht="15" hidden="false" customHeight="false" outlineLevel="0" collapsed="false">
      <c r="A391" s="13" t="s">
        <v>458</v>
      </c>
      <c r="B391" s="12" t="s">
        <v>24</v>
      </c>
      <c r="C391" s="12" t="s">
        <v>20</v>
      </c>
      <c r="D391" s="13" t="s">
        <v>408</v>
      </c>
      <c r="E391" s="14" t="n">
        <v>44901</v>
      </c>
      <c r="F391" s="15" t="n">
        <f aca="false">ROUND((IF(K391="",DATE(2026,9,30),K391)-E391)/365.25,1)</f>
        <v>3.8</v>
      </c>
      <c r="G391" s="12"/>
      <c r="H391" s="16" t="n">
        <v>45808</v>
      </c>
      <c r="I391" s="12" t="s">
        <v>241</v>
      </c>
      <c r="J391" s="12" t="s">
        <v>47</v>
      </c>
      <c r="K391" s="12"/>
      <c r="L391" s="12"/>
      <c r="M391" s="12" t="s">
        <v>70</v>
      </c>
      <c r="N391" s="12"/>
    </row>
    <row r="392" customFormat="false" ht="15" hidden="false" customHeight="false" outlineLevel="0" collapsed="false">
      <c r="A392" s="13" t="s">
        <v>459</v>
      </c>
      <c r="B392" s="12" t="s">
        <v>24</v>
      </c>
      <c r="C392" s="12" t="s">
        <v>20</v>
      </c>
      <c r="D392" s="13" t="s">
        <v>410</v>
      </c>
      <c r="E392" s="14" t="n">
        <v>44568</v>
      </c>
      <c r="F392" s="15" t="n">
        <f aca="false">ROUND((IF(K392="",DATE(2026,9,30),K392)-E392)/365.25,1)</f>
        <v>4.7</v>
      </c>
      <c r="G392" s="12"/>
      <c r="H392" s="16" t="n">
        <v>45808</v>
      </c>
      <c r="I392" s="12" t="s">
        <v>241</v>
      </c>
      <c r="J392" s="12" t="s">
        <v>47</v>
      </c>
      <c r="K392" s="12"/>
      <c r="L392" s="12"/>
      <c r="M392" s="12" t="s">
        <v>70</v>
      </c>
      <c r="N392" s="12"/>
    </row>
    <row r="393" customFormat="false" ht="15" hidden="false" customHeight="false" outlineLevel="0" collapsed="false">
      <c r="A393" s="13" t="s">
        <v>460</v>
      </c>
      <c r="B393" s="12" t="s">
        <v>24</v>
      </c>
      <c r="C393" s="12" t="s">
        <v>20</v>
      </c>
      <c r="D393" s="13" t="s">
        <v>408</v>
      </c>
      <c r="E393" s="14" t="n">
        <v>44671</v>
      </c>
      <c r="F393" s="15" t="n">
        <f aca="false">ROUND((IF(K393="",DATE(2026,9,30),K393)-E393)/365.25,1)</f>
        <v>4.4</v>
      </c>
      <c r="G393" s="12"/>
      <c r="H393" s="16" t="n">
        <v>45808</v>
      </c>
      <c r="I393" s="12" t="s">
        <v>241</v>
      </c>
      <c r="J393" s="12" t="s">
        <v>47</v>
      </c>
      <c r="K393" s="12"/>
      <c r="L393" s="12"/>
      <c r="M393" s="12" t="s">
        <v>70</v>
      </c>
      <c r="N393" s="12"/>
    </row>
    <row r="394" customFormat="false" ht="15" hidden="false" customHeight="false" outlineLevel="0" collapsed="false">
      <c r="A394" s="13" t="s">
        <v>461</v>
      </c>
      <c r="B394" s="12" t="s">
        <v>24</v>
      </c>
      <c r="C394" s="12" t="s">
        <v>20</v>
      </c>
      <c r="D394" s="13" t="s">
        <v>408</v>
      </c>
      <c r="E394" s="14" t="n">
        <v>44115</v>
      </c>
      <c r="F394" s="15" t="n">
        <f aca="false">ROUND((IF(K394="",DATE(2026,9,30),K394)-E394)/365.25,1)</f>
        <v>5.1</v>
      </c>
      <c r="G394" s="12"/>
      <c r="H394" s="16" t="n">
        <v>45808</v>
      </c>
      <c r="I394" s="12" t="s">
        <v>241</v>
      </c>
      <c r="J394" s="12" t="s">
        <v>42</v>
      </c>
      <c r="K394" s="17" t="n">
        <v>45960</v>
      </c>
      <c r="L394" s="12"/>
      <c r="M394" s="12" t="s">
        <v>70</v>
      </c>
      <c r="N394" s="12"/>
    </row>
    <row r="395" customFormat="false" ht="15" hidden="false" customHeight="false" outlineLevel="0" collapsed="false">
      <c r="A395" s="13" t="s">
        <v>462</v>
      </c>
      <c r="B395" s="12" t="s">
        <v>24</v>
      </c>
      <c r="C395" s="12" t="s">
        <v>20</v>
      </c>
      <c r="D395" s="13" t="s">
        <v>419</v>
      </c>
      <c r="E395" s="14" t="n">
        <v>44653</v>
      </c>
      <c r="F395" s="15" t="n">
        <f aca="false">ROUND((IF(K395="",DATE(2026,9,30),K395)-E395)/365.25,1)</f>
        <v>4.5</v>
      </c>
      <c r="G395" s="12"/>
      <c r="H395" s="16" t="n">
        <v>45808</v>
      </c>
      <c r="I395" s="12" t="s">
        <v>241</v>
      </c>
      <c r="J395" s="12" t="s">
        <v>47</v>
      </c>
      <c r="K395" s="12"/>
      <c r="L395" s="12"/>
      <c r="M395" s="12" t="s">
        <v>70</v>
      </c>
      <c r="N395" s="12"/>
    </row>
    <row r="396" customFormat="false" ht="15" hidden="false" customHeight="false" outlineLevel="0" collapsed="false">
      <c r="A396" s="13" t="s">
        <v>463</v>
      </c>
      <c r="B396" s="12" t="s">
        <v>24</v>
      </c>
      <c r="C396" s="12" t="s">
        <v>20</v>
      </c>
      <c r="D396" s="13" t="s">
        <v>410</v>
      </c>
      <c r="E396" s="14" t="n">
        <v>44181</v>
      </c>
      <c r="F396" s="15" t="n">
        <f aca="false">ROUND((IF(K396="",DATE(2026,9,30),K396)-E396)/365.25,1)</f>
        <v>5.8</v>
      </c>
      <c r="G396" s="12"/>
      <c r="H396" s="16" t="n">
        <v>45808</v>
      </c>
      <c r="I396" s="12" t="s">
        <v>241</v>
      </c>
      <c r="J396" s="12" t="s">
        <v>47</v>
      </c>
      <c r="K396" s="12"/>
      <c r="L396" s="12"/>
      <c r="M396" s="12" t="s">
        <v>70</v>
      </c>
      <c r="N396" s="12"/>
    </row>
    <row r="397" customFormat="false" ht="15" hidden="false" customHeight="false" outlineLevel="0" collapsed="false">
      <c r="A397" s="13" t="s">
        <v>464</v>
      </c>
      <c r="B397" s="12" t="s">
        <v>24</v>
      </c>
      <c r="C397" s="12" t="s">
        <v>20</v>
      </c>
      <c r="D397" s="13" t="s">
        <v>408</v>
      </c>
      <c r="E397" s="14" t="n">
        <v>43779</v>
      </c>
      <c r="F397" s="15" t="n">
        <f aca="false">ROUND((IF(K397="",DATE(2026,9,30),K397)-E397)/365.25,1)</f>
        <v>5.9</v>
      </c>
      <c r="G397" s="12"/>
      <c r="H397" s="16" t="n">
        <v>45808</v>
      </c>
      <c r="I397" s="12" t="s">
        <v>241</v>
      </c>
      <c r="J397" s="12" t="s">
        <v>42</v>
      </c>
      <c r="K397" s="17" t="n">
        <v>45921</v>
      </c>
      <c r="L397" s="12"/>
      <c r="M397" s="12" t="s">
        <v>70</v>
      </c>
      <c r="N397" s="12"/>
    </row>
    <row r="398" customFormat="false" ht="15" hidden="false" customHeight="false" outlineLevel="0" collapsed="false">
      <c r="A398" s="13" t="s">
        <v>465</v>
      </c>
      <c r="B398" s="12" t="s">
        <v>24</v>
      </c>
      <c r="C398" s="12" t="s">
        <v>20</v>
      </c>
      <c r="D398" s="13" t="s">
        <v>408</v>
      </c>
      <c r="E398" s="14" t="n">
        <v>43701</v>
      </c>
      <c r="F398" s="15" t="n">
        <f aca="false">ROUND((IF(K398="",DATE(2026,9,30),K398)-E398)/365.25,1)</f>
        <v>6.8</v>
      </c>
      <c r="G398" s="12"/>
      <c r="H398" s="16" t="n">
        <v>45808</v>
      </c>
      <c r="I398" s="12" t="s">
        <v>241</v>
      </c>
      <c r="J398" s="12" t="s">
        <v>42</v>
      </c>
      <c r="K398" s="17" t="n">
        <v>46174</v>
      </c>
      <c r="L398" s="12"/>
      <c r="M398" s="12" t="s">
        <v>70</v>
      </c>
      <c r="N398" s="12"/>
    </row>
    <row r="399" customFormat="false" ht="15" hidden="false" customHeight="false" outlineLevel="0" collapsed="false">
      <c r="A399" s="13" t="s">
        <v>466</v>
      </c>
      <c r="B399" s="12" t="s">
        <v>24</v>
      </c>
      <c r="C399" s="12" t="s">
        <v>20</v>
      </c>
      <c r="D399" s="13" t="s">
        <v>408</v>
      </c>
      <c r="E399" s="14" t="n">
        <v>44031</v>
      </c>
      <c r="F399" s="15" t="n">
        <f aca="false">ROUND((IF(K399="",DATE(2026,9,30),K399)-E399)/365.25,1)</f>
        <v>5.8</v>
      </c>
      <c r="G399" s="12"/>
      <c r="H399" s="16" t="n">
        <v>45808</v>
      </c>
      <c r="I399" s="12" t="s">
        <v>241</v>
      </c>
      <c r="J399" s="12" t="s">
        <v>55</v>
      </c>
      <c r="K399" s="17" t="n">
        <v>46157</v>
      </c>
      <c r="L399" s="12"/>
      <c r="M399" s="12" t="s">
        <v>70</v>
      </c>
      <c r="N399" s="12"/>
    </row>
    <row r="400" customFormat="false" ht="15" hidden="false" customHeight="false" outlineLevel="0" collapsed="false">
      <c r="A400" s="13" t="s">
        <v>467</v>
      </c>
      <c r="B400" s="12" t="s">
        <v>24</v>
      </c>
      <c r="C400" s="12" t="s">
        <v>20</v>
      </c>
      <c r="D400" s="13" t="s">
        <v>410</v>
      </c>
      <c r="E400" s="14" t="n">
        <v>45003</v>
      </c>
      <c r="F400" s="15" t="n">
        <f aca="false">ROUND((IF(K400="",DATE(2026,9,30),K400)-E400)/365.25,1)</f>
        <v>3.5</v>
      </c>
      <c r="G400" s="12"/>
      <c r="H400" s="16" t="n">
        <v>45808</v>
      </c>
      <c r="I400" s="12" t="s">
        <v>241</v>
      </c>
      <c r="J400" s="12" t="s">
        <v>47</v>
      </c>
      <c r="K400" s="12"/>
      <c r="L400" s="12"/>
      <c r="M400" s="12" t="s">
        <v>70</v>
      </c>
      <c r="N400" s="12"/>
    </row>
    <row r="401" customFormat="false" ht="15" hidden="false" customHeight="false" outlineLevel="0" collapsed="false">
      <c r="A401" s="13" t="s">
        <v>468</v>
      </c>
      <c r="B401" s="12" t="s">
        <v>24</v>
      </c>
      <c r="C401" s="12" t="s">
        <v>20</v>
      </c>
      <c r="D401" s="13" t="s">
        <v>419</v>
      </c>
      <c r="E401" s="14" t="n">
        <v>44235</v>
      </c>
      <c r="F401" s="15" t="n">
        <f aca="false">ROUND((IF(K401="",DATE(2026,9,30),K401)-E401)/365.25,1)</f>
        <v>5.6</v>
      </c>
      <c r="G401" s="12"/>
      <c r="H401" s="16" t="n">
        <v>45808</v>
      </c>
      <c r="I401" s="12" t="s">
        <v>241</v>
      </c>
      <c r="J401" s="12" t="s">
        <v>47</v>
      </c>
      <c r="K401" s="12"/>
      <c r="L401" s="12"/>
      <c r="M401" s="12" t="s">
        <v>70</v>
      </c>
      <c r="N401" s="12"/>
    </row>
    <row r="402" customFormat="false" ht="15" hidden="false" customHeight="false" outlineLevel="0" collapsed="false">
      <c r="A402" s="13" t="s">
        <v>469</v>
      </c>
      <c r="B402" s="12" t="s">
        <v>24</v>
      </c>
      <c r="C402" s="12" t="s">
        <v>20</v>
      </c>
      <c r="D402" s="13" t="s">
        <v>408</v>
      </c>
      <c r="E402" s="14" t="n">
        <v>43754</v>
      </c>
      <c r="F402" s="15" t="n">
        <f aca="false">ROUND((IF(K402="",DATE(2026,9,30),K402)-E402)/365.25,1)</f>
        <v>7</v>
      </c>
      <c r="G402" s="12"/>
      <c r="H402" s="16" t="n">
        <v>45808</v>
      </c>
      <c r="I402" s="12" t="s">
        <v>241</v>
      </c>
      <c r="J402" s="12" t="s">
        <v>47</v>
      </c>
      <c r="K402" s="12"/>
      <c r="L402" s="12"/>
      <c r="M402" s="12" t="s">
        <v>70</v>
      </c>
      <c r="N402" s="12"/>
    </row>
    <row r="403" customFormat="false" ht="15" hidden="false" customHeight="false" outlineLevel="0" collapsed="false">
      <c r="A403" s="13" t="s">
        <v>470</v>
      </c>
      <c r="B403" s="12" t="s">
        <v>24</v>
      </c>
      <c r="C403" s="12" t="s">
        <v>20</v>
      </c>
      <c r="D403" s="13" t="s">
        <v>410</v>
      </c>
      <c r="E403" s="14" t="n">
        <v>45067</v>
      </c>
      <c r="F403" s="15" t="n">
        <f aca="false">ROUND((IF(K403="",DATE(2026,9,30),K403)-E403)/365.25,1)</f>
        <v>3.4</v>
      </c>
      <c r="G403" s="12"/>
      <c r="H403" s="16" t="n">
        <v>45808</v>
      </c>
      <c r="I403" s="12" t="s">
        <v>241</v>
      </c>
      <c r="J403" s="12" t="s">
        <v>47</v>
      </c>
      <c r="K403" s="12"/>
      <c r="L403" s="12"/>
      <c r="M403" s="12" t="s">
        <v>70</v>
      </c>
      <c r="N403" s="12"/>
    </row>
    <row r="404" customFormat="false" ht="15" hidden="false" customHeight="false" outlineLevel="0" collapsed="false">
      <c r="A404" s="13" t="s">
        <v>471</v>
      </c>
      <c r="B404" s="12" t="s">
        <v>24</v>
      </c>
      <c r="C404" s="12" t="s">
        <v>20</v>
      </c>
      <c r="D404" s="13" t="s">
        <v>410</v>
      </c>
      <c r="E404" s="14" t="n">
        <v>44391</v>
      </c>
      <c r="F404" s="15" t="n">
        <f aca="false">ROUND((IF(K404="",DATE(2026,9,30),K404)-E404)/365.25,1)</f>
        <v>5.2</v>
      </c>
      <c r="G404" s="12"/>
      <c r="H404" s="16" t="n">
        <v>45808</v>
      </c>
      <c r="I404" s="12" t="s">
        <v>241</v>
      </c>
      <c r="J404" s="12" t="s">
        <v>47</v>
      </c>
      <c r="K404" s="12"/>
      <c r="L404" s="12"/>
      <c r="M404" s="12" t="s">
        <v>70</v>
      </c>
      <c r="N404" s="12"/>
    </row>
    <row r="405" customFormat="false" ht="15" hidden="false" customHeight="false" outlineLevel="0" collapsed="false">
      <c r="A405" s="13" t="s">
        <v>472</v>
      </c>
      <c r="B405" s="12" t="s">
        <v>24</v>
      </c>
      <c r="C405" s="12" t="s">
        <v>20</v>
      </c>
      <c r="D405" s="13" t="s">
        <v>408</v>
      </c>
      <c r="E405" s="14" t="n">
        <v>45142</v>
      </c>
      <c r="F405" s="15" t="n">
        <f aca="false">ROUND((IF(K405="",DATE(2026,9,30),K405)-E405)/365.25,1)</f>
        <v>3.2</v>
      </c>
      <c r="G405" s="12"/>
      <c r="H405" s="16" t="n">
        <v>45808</v>
      </c>
      <c r="I405" s="12" t="s">
        <v>241</v>
      </c>
      <c r="J405" s="12" t="s">
        <v>47</v>
      </c>
      <c r="K405" s="12"/>
      <c r="L405" s="12"/>
      <c r="M405" s="12" t="s">
        <v>70</v>
      </c>
      <c r="N405" s="12"/>
    </row>
    <row r="406" customFormat="false" ht="15" hidden="false" customHeight="false" outlineLevel="0" collapsed="false">
      <c r="A406" s="13" t="s">
        <v>473</v>
      </c>
      <c r="B406" s="12" t="s">
        <v>24</v>
      </c>
      <c r="C406" s="12" t="s">
        <v>20</v>
      </c>
      <c r="D406" s="13" t="s">
        <v>410</v>
      </c>
      <c r="E406" s="14" t="n">
        <v>44242</v>
      </c>
      <c r="F406" s="15" t="n">
        <f aca="false">ROUND((IF(K406="",DATE(2026,9,30),K406)-E406)/365.25,1)</f>
        <v>4.8</v>
      </c>
      <c r="G406" s="12"/>
      <c r="H406" s="16" t="n">
        <v>45808</v>
      </c>
      <c r="I406" s="12" t="s">
        <v>241</v>
      </c>
      <c r="J406" s="12" t="s">
        <v>55</v>
      </c>
      <c r="K406" s="17" t="n">
        <v>46007</v>
      </c>
      <c r="L406" s="12"/>
      <c r="M406" s="12" t="s">
        <v>70</v>
      </c>
      <c r="N406" s="12"/>
    </row>
    <row r="407" customFormat="false" ht="15" hidden="false" customHeight="false" outlineLevel="0" collapsed="false">
      <c r="A407" s="13" t="s">
        <v>474</v>
      </c>
      <c r="B407" s="12" t="s">
        <v>24</v>
      </c>
      <c r="C407" s="12" t="s">
        <v>20</v>
      </c>
      <c r="D407" s="13" t="s">
        <v>410</v>
      </c>
      <c r="E407" s="14" t="n">
        <v>43911</v>
      </c>
      <c r="F407" s="15" t="n">
        <f aca="false">ROUND((IF(K407="",DATE(2026,9,30),K407)-E407)/365.25,1)</f>
        <v>5.4</v>
      </c>
      <c r="G407" s="12"/>
      <c r="H407" s="16" t="n">
        <v>45808</v>
      </c>
      <c r="I407" s="12" t="s">
        <v>241</v>
      </c>
      <c r="J407" s="12" t="s">
        <v>42</v>
      </c>
      <c r="K407" s="17" t="n">
        <v>45876</v>
      </c>
      <c r="L407" s="12"/>
      <c r="M407" s="12" t="s">
        <v>70</v>
      </c>
      <c r="N407" s="12"/>
    </row>
    <row r="408" customFormat="false" ht="15" hidden="false" customHeight="false" outlineLevel="0" collapsed="false">
      <c r="A408" s="13" t="s">
        <v>475</v>
      </c>
      <c r="B408" s="12" t="s">
        <v>24</v>
      </c>
      <c r="C408" s="12" t="s">
        <v>20</v>
      </c>
      <c r="D408" s="13" t="s">
        <v>410</v>
      </c>
      <c r="E408" s="14" t="n">
        <v>43879</v>
      </c>
      <c r="F408" s="15" t="n">
        <f aca="false">ROUND((IF(K408="",DATE(2026,9,30),K408)-E408)/365.25,1)</f>
        <v>6.6</v>
      </c>
      <c r="G408" s="12"/>
      <c r="H408" s="16" t="n">
        <v>45808</v>
      </c>
      <c r="I408" s="12" t="s">
        <v>241</v>
      </c>
      <c r="J408" s="12" t="s">
        <v>47</v>
      </c>
      <c r="K408" s="12"/>
      <c r="L408" s="12"/>
      <c r="M408" s="12" t="s">
        <v>70</v>
      </c>
      <c r="N408" s="12"/>
    </row>
    <row r="409" customFormat="false" ht="15" hidden="false" customHeight="false" outlineLevel="0" collapsed="false">
      <c r="A409" s="13" t="s">
        <v>476</v>
      </c>
      <c r="B409" s="12" t="s">
        <v>24</v>
      </c>
      <c r="C409" s="12" t="s">
        <v>20</v>
      </c>
      <c r="D409" s="13" t="s">
        <v>419</v>
      </c>
      <c r="E409" s="14" t="n">
        <v>44777</v>
      </c>
      <c r="F409" s="15" t="n">
        <f aca="false">ROUND((IF(K409="",DATE(2026,9,30),K409)-E409)/365.25,1)</f>
        <v>4.2</v>
      </c>
      <c r="G409" s="12"/>
      <c r="H409" s="16" t="n">
        <v>45808</v>
      </c>
      <c r="I409" s="12" t="s">
        <v>241</v>
      </c>
      <c r="J409" s="12" t="s">
        <v>47</v>
      </c>
      <c r="K409" s="12"/>
      <c r="L409" s="12"/>
      <c r="M409" s="12" t="s">
        <v>70</v>
      </c>
      <c r="N409" s="12"/>
    </row>
    <row r="410" customFormat="false" ht="15" hidden="false" customHeight="false" outlineLevel="0" collapsed="false">
      <c r="A410" s="13" t="s">
        <v>477</v>
      </c>
      <c r="B410" s="12" t="s">
        <v>24</v>
      </c>
      <c r="C410" s="12" t="s">
        <v>20</v>
      </c>
      <c r="D410" s="13" t="s">
        <v>408</v>
      </c>
      <c r="E410" s="14" t="n">
        <v>44044</v>
      </c>
      <c r="F410" s="15" t="n">
        <f aca="false">ROUND((IF(K410="",DATE(2026,9,30),K410)-E410)/365.25,1)</f>
        <v>6.2</v>
      </c>
      <c r="G410" s="12"/>
      <c r="H410" s="16" t="n">
        <v>45808</v>
      </c>
      <c r="I410" s="12" t="s">
        <v>241</v>
      </c>
      <c r="J410" s="12" t="s">
        <v>47</v>
      </c>
      <c r="K410" s="12"/>
      <c r="L410" s="12"/>
      <c r="M410" s="12" t="s">
        <v>70</v>
      </c>
      <c r="N410" s="12"/>
    </row>
    <row r="411" customFormat="false" ht="15" hidden="false" customHeight="false" outlineLevel="0" collapsed="false">
      <c r="A411" s="13" t="s">
        <v>478</v>
      </c>
      <c r="B411" s="12" t="s">
        <v>24</v>
      </c>
      <c r="C411" s="12" t="s">
        <v>20</v>
      </c>
      <c r="D411" s="13" t="s">
        <v>410</v>
      </c>
      <c r="E411" s="14" t="n">
        <v>45159</v>
      </c>
      <c r="F411" s="15" t="n">
        <f aca="false">ROUND((IF(K411="",DATE(2026,9,30),K411)-E411)/365.25,1)</f>
        <v>3.1</v>
      </c>
      <c r="G411" s="12"/>
      <c r="H411" s="16" t="n">
        <v>45808</v>
      </c>
      <c r="I411" s="12" t="s">
        <v>241</v>
      </c>
      <c r="J411" s="12" t="s">
        <v>47</v>
      </c>
      <c r="K411" s="12"/>
      <c r="L411" s="12"/>
      <c r="M411" s="12" t="s">
        <v>70</v>
      </c>
      <c r="N411" s="12"/>
    </row>
    <row r="412" customFormat="false" ht="15" hidden="false" customHeight="false" outlineLevel="0" collapsed="false">
      <c r="A412" s="13" t="s">
        <v>479</v>
      </c>
      <c r="B412" s="12" t="s">
        <v>24</v>
      </c>
      <c r="C412" s="12" t="s">
        <v>20</v>
      </c>
      <c r="D412" s="13" t="s">
        <v>419</v>
      </c>
      <c r="E412" s="14" t="n">
        <v>44798</v>
      </c>
      <c r="F412" s="15" t="n">
        <f aca="false">ROUND((IF(K412="",DATE(2026,9,30),K412)-E412)/365.25,1)</f>
        <v>4.1</v>
      </c>
      <c r="G412" s="12"/>
      <c r="H412" s="16" t="n">
        <v>45808</v>
      </c>
      <c r="I412" s="12" t="s">
        <v>241</v>
      </c>
      <c r="J412" s="12" t="s">
        <v>47</v>
      </c>
      <c r="K412" s="12"/>
      <c r="L412" s="12"/>
      <c r="M412" s="12" t="s">
        <v>70</v>
      </c>
      <c r="N412" s="12"/>
    </row>
    <row r="413" customFormat="false" ht="15" hidden="false" customHeight="false" outlineLevel="0" collapsed="false">
      <c r="A413" s="13" t="s">
        <v>480</v>
      </c>
      <c r="B413" s="12" t="s">
        <v>24</v>
      </c>
      <c r="C413" s="12" t="s">
        <v>20</v>
      </c>
      <c r="D413" s="13" t="s">
        <v>408</v>
      </c>
      <c r="E413" s="14" t="n">
        <v>43985</v>
      </c>
      <c r="F413" s="15" t="n">
        <f aca="false">ROUND((IF(K413="",DATE(2026,9,30),K413)-E413)/365.25,1)</f>
        <v>6</v>
      </c>
      <c r="G413" s="12"/>
      <c r="H413" s="16" t="n">
        <v>45808</v>
      </c>
      <c r="I413" s="12" t="s">
        <v>241</v>
      </c>
      <c r="J413" s="12" t="s">
        <v>55</v>
      </c>
      <c r="K413" s="17" t="n">
        <v>46171</v>
      </c>
      <c r="L413" s="12"/>
      <c r="M413" s="12" t="s">
        <v>70</v>
      </c>
      <c r="N413" s="12"/>
    </row>
    <row r="414" customFormat="false" ht="15" hidden="false" customHeight="false" outlineLevel="0" collapsed="false">
      <c r="A414" s="13" t="s">
        <v>481</v>
      </c>
      <c r="B414" s="12" t="s">
        <v>24</v>
      </c>
      <c r="C414" s="12" t="s">
        <v>20</v>
      </c>
      <c r="D414" s="13" t="s">
        <v>408</v>
      </c>
      <c r="E414" s="14" t="n">
        <v>44885</v>
      </c>
      <c r="F414" s="15" t="n">
        <f aca="false">ROUND((IF(K414="",DATE(2026,9,30),K414)-E414)/365.25,1)</f>
        <v>3.9</v>
      </c>
      <c r="G414" s="12"/>
      <c r="H414" s="16" t="n">
        <v>45808</v>
      </c>
      <c r="I414" s="12" t="s">
        <v>241</v>
      </c>
      <c r="J414" s="12" t="s">
        <v>47</v>
      </c>
      <c r="K414" s="12"/>
      <c r="L414" s="12"/>
      <c r="M414" s="12" t="s">
        <v>70</v>
      </c>
      <c r="N414" s="12"/>
    </row>
    <row r="415" customFormat="false" ht="15" hidden="false" customHeight="false" outlineLevel="0" collapsed="false">
      <c r="A415" s="13" t="s">
        <v>482</v>
      </c>
      <c r="B415" s="12" t="s">
        <v>24</v>
      </c>
      <c r="C415" s="12" t="s">
        <v>20</v>
      </c>
      <c r="D415" s="13" t="s">
        <v>408</v>
      </c>
      <c r="E415" s="14" t="n">
        <v>44723</v>
      </c>
      <c r="F415" s="15" t="n">
        <f aca="false">ROUND((IF(K415="",DATE(2026,9,30),K415)-E415)/365.25,1)</f>
        <v>4.3</v>
      </c>
      <c r="G415" s="12"/>
      <c r="H415" s="16" t="n">
        <v>45808</v>
      </c>
      <c r="I415" s="12" t="s">
        <v>241</v>
      </c>
      <c r="J415" s="12" t="s">
        <v>47</v>
      </c>
      <c r="K415" s="12"/>
      <c r="L415" s="12"/>
      <c r="M415" s="12" t="s">
        <v>70</v>
      </c>
      <c r="N415" s="12"/>
    </row>
    <row r="416" customFormat="false" ht="15" hidden="false" customHeight="false" outlineLevel="0" collapsed="false">
      <c r="A416" s="13" t="s">
        <v>483</v>
      </c>
      <c r="B416" s="12" t="s">
        <v>24</v>
      </c>
      <c r="C416" s="12" t="s">
        <v>20</v>
      </c>
      <c r="D416" s="13" t="s">
        <v>408</v>
      </c>
      <c r="E416" s="14" t="n">
        <v>44157</v>
      </c>
      <c r="F416" s="15" t="n">
        <f aca="false">ROUND((IF(K416="",DATE(2026,9,30),K416)-E416)/365.25,1)</f>
        <v>4.8</v>
      </c>
      <c r="G416" s="12"/>
      <c r="H416" s="16" t="n">
        <v>45808</v>
      </c>
      <c r="I416" s="12" t="s">
        <v>241</v>
      </c>
      <c r="J416" s="12" t="s">
        <v>42</v>
      </c>
      <c r="K416" s="17" t="n">
        <v>45919</v>
      </c>
      <c r="L416" s="12"/>
      <c r="M416" s="12" t="s">
        <v>70</v>
      </c>
      <c r="N416" s="12"/>
    </row>
    <row r="417" customFormat="false" ht="15" hidden="false" customHeight="false" outlineLevel="0" collapsed="false">
      <c r="A417" s="13" t="s">
        <v>484</v>
      </c>
      <c r="B417" s="12" t="s">
        <v>24</v>
      </c>
      <c r="C417" s="12" t="s">
        <v>20</v>
      </c>
      <c r="D417" s="13" t="s">
        <v>419</v>
      </c>
      <c r="E417" s="14" t="n">
        <v>44023</v>
      </c>
      <c r="F417" s="15" t="n">
        <f aca="false">ROUND((IF(K417="",DATE(2026,9,30),K417)-E417)/365.25,1)</f>
        <v>6.2</v>
      </c>
      <c r="G417" s="12"/>
      <c r="H417" s="16" t="n">
        <v>45808</v>
      </c>
      <c r="I417" s="12" t="s">
        <v>241</v>
      </c>
      <c r="J417" s="12" t="s">
        <v>47</v>
      </c>
      <c r="K417" s="12"/>
      <c r="L417" s="12"/>
      <c r="M417" s="12" t="s">
        <v>70</v>
      </c>
      <c r="N417" s="12"/>
    </row>
    <row r="418" customFormat="false" ht="15" hidden="false" customHeight="false" outlineLevel="0" collapsed="false">
      <c r="A418" s="13" t="s">
        <v>485</v>
      </c>
      <c r="B418" s="12" t="s">
        <v>24</v>
      </c>
      <c r="C418" s="12" t="s">
        <v>20</v>
      </c>
      <c r="D418" s="13" t="s">
        <v>419</v>
      </c>
      <c r="E418" s="14" t="n">
        <v>45097</v>
      </c>
      <c r="F418" s="15" t="n">
        <f aca="false">ROUND((IF(K418="",DATE(2026,9,30),K418)-E418)/365.25,1)</f>
        <v>3.3</v>
      </c>
      <c r="G418" s="12"/>
      <c r="H418" s="16" t="n">
        <v>45808</v>
      </c>
      <c r="I418" s="12" t="s">
        <v>241</v>
      </c>
      <c r="J418" s="12" t="s">
        <v>47</v>
      </c>
      <c r="K418" s="12"/>
      <c r="L418" s="12"/>
      <c r="M418" s="12" t="s">
        <v>70</v>
      </c>
      <c r="N418" s="12"/>
    </row>
    <row r="419" customFormat="false" ht="15" hidden="false" customHeight="false" outlineLevel="0" collapsed="false">
      <c r="A419" s="13" t="s">
        <v>486</v>
      </c>
      <c r="B419" s="12" t="s">
        <v>24</v>
      </c>
      <c r="C419" s="12" t="s">
        <v>20</v>
      </c>
      <c r="D419" s="13" t="s">
        <v>419</v>
      </c>
      <c r="E419" s="14" t="n">
        <v>43718</v>
      </c>
      <c r="F419" s="15" t="n">
        <f aca="false">ROUND((IF(K419="",DATE(2026,9,30),K419)-E419)/365.25,1)</f>
        <v>7.1</v>
      </c>
      <c r="G419" s="12"/>
      <c r="H419" s="16" t="n">
        <v>45808</v>
      </c>
      <c r="I419" s="12" t="s">
        <v>241</v>
      </c>
      <c r="J419" s="12" t="s">
        <v>47</v>
      </c>
      <c r="K419" s="12"/>
      <c r="L419" s="12"/>
      <c r="M419" s="12" t="s">
        <v>70</v>
      </c>
      <c r="N419" s="12"/>
    </row>
    <row r="420" customFormat="false" ht="15" hidden="false" customHeight="false" outlineLevel="0" collapsed="false">
      <c r="A420" s="13" t="s">
        <v>487</v>
      </c>
      <c r="B420" s="12" t="s">
        <v>24</v>
      </c>
      <c r="C420" s="12" t="s">
        <v>20</v>
      </c>
      <c r="D420" s="13" t="s">
        <v>419</v>
      </c>
      <c r="E420" s="14" t="n">
        <v>44309</v>
      </c>
      <c r="F420" s="15" t="n">
        <f aca="false">ROUND((IF(K420="",DATE(2026,9,30),K420)-E420)/365.25,1)</f>
        <v>5.4</v>
      </c>
      <c r="G420" s="12"/>
      <c r="H420" s="16" t="n">
        <v>45808</v>
      </c>
      <c r="I420" s="12" t="s">
        <v>241</v>
      </c>
      <c r="J420" s="12" t="s">
        <v>47</v>
      </c>
      <c r="K420" s="12"/>
      <c r="L420" s="12"/>
      <c r="M420" s="12" t="s">
        <v>70</v>
      </c>
      <c r="N420" s="12"/>
    </row>
    <row r="421" customFormat="false" ht="15" hidden="false" customHeight="false" outlineLevel="0" collapsed="false">
      <c r="A421" s="13" t="s">
        <v>488</v>
      </c>
      <c r="B421" s="12" t="s">
        <v>24</v>
      </c>
      <c r="C421" s="12" t="s">
        <v>20</v>
      </c>
      <c r="D421" s="13" t="s">
        <v>419</v>
      </c>
      <c r="E421" s="14" t="n">
        <v>44134</v>
      </c>
      <c r="F421" s="15" t="n">
        <f aca="false">ROUND((IF(K421="",DATE(2026,9,30),K421)-E421)/365.25,1)</f>
        <v>5.2</v>
      </c>
      <c r="G421" s="12"/>
      <c r="H421" s="16" t="n">
        <v>45808</v>
      </c>
      <c r="I421" s="12" t="s">
        <v>241</v>
      </c>
      <c r="J421" s="12" t="s">
        <v>55</v>
      </c>
      <c r="K421" s="17" t="n">
        <v>46018</v>
      </c>
      <c r="L421" s="12"/>
      <c r="M421" s="12" t="s">
        <v>70</v>
      </c>
      <c r="N421" s="12"/>
    </row>
    <row r="422" customFormat="false" ht="15" hidden="false" customHeight="false" outlineLevel="0" collapsed="false">
      <c r="A422" s="13" t="s">
        <v>489</v>
      </c>
      <c r="B422" s="12" t="s">
        <v>24</v>
      </c>
      <c r="C422" s="12" t="s">
        <v>20</v>
      </c>
      <c r="D422" s="13" t="s">
        <v>408</v>
      </c>
      <c r="E422" s="14" t="n">
        <v>44376</v>
      </c>
      <c r="F422" s="15" t="n">
        <f aca="false">ROUND((IF(K422="",DATE(2026,9,30),K422)-E422)/365.25,1)</f>
        <v>5.3</v>
      </c>
      <c r="G422" s="12"/>
      <c r="H422" s="16" t="n">
        <v>45808</v>
      </c>
      <c r="I422" s="12" t="s">
        <v>241</v>
      </c>
      <c r="J422" s="12" t="s">
        <v>47</v>
      </c>
      <c r="K422" s="12"/>
      <c r="L422" s="12"/>
      <c r="M422" s="12" t="s">
        <v>70</v>
      </c>
      <c r="N422" s="12"/>
    </row>
    <row r="423" customFormat="false" ht="15" hidden="false" customHeight="false" outlineLevel="0" collapsed="false">
      <c r="A423" s="13" t="s">
        <v>490</v>
      </c>
      <c r="B423" s="12" t="s">
        <v>24</v>
      </c>
      <c r="C423" s="12" t="s">
        <v>20</v>
      </c>
      <c r="D423" s="13" t="s">
        <v>408</v>
      </c>
      <c r="E423" s="14" t="n">
        <v>44456</v>
      </c>
      <c r="F423" s="15" t="n">
        <f aca="false">ROUND((IF(K423="",DATE(2026,9,30),K423)-E423)/365.25,1)</f>
        <v>5</v>
      </c>
      <c r="G423" s="12"/>
      <c r="H423" s="16" t="n">
        <v>45808</v>
      </c>
      <c r="I423" s="12" t="s">
        <v>241</v>
      </c>
      <c r="J423" s="12" t="s">
        <v>47</v>
      </c>
      <c r="K423" s="12"/>
      <c r="L423" s="12"/>
      <c r="M423" s="12" t="s">
        <v>70</v>
      </c>
      <c r="N423" s="12"/>
    </row>
    <row r="424" customFormat="false" ht="15" hidden="false" customHeight="false" outlineLevel="0" collapsed="false">
      <c r="A424" s="13" t="s">
        <v>491</v>
      </c>
      <c r="B424" s="12" t="s">
        <v>24</v>
      </c>
      <c r="C424" s="12" t="s">
        <v>20</v>
      </c>
      <c r="D424" s="13" t="s">
        <v>419</v>
      </c>
      <c r="E424" s="14" t="n">
        <v>44391</v>
      </c>
      <c r="F424" s="15" t="n">
        <f aca="false">ROUND((IF(K424="",DATE(2026,9,30),K424)-E424)/365.25,1)</f>
        <v>4.5</v>
      </c>
      <c r="G424" s="12"/>
      <c r="H424" s="16" t="n">
        <v>45808</v>
      </c>
      <c r="I424" s="12" t="s">
        <v>241</v>
      </c>
      <c r="J424" s="12" t="s">
        <v>42</v>
      </c>
      <c r="K424" s="17" t="n">
        <v>46040</v>
      </c>
      <c r="L424" s="12"/>
      <c r="M424" s="12" t="s">
        <v>70</v>
      </c>
      <c r="N424" s="12"/>
    </row>
    <row r="425" customFormat="false" ht="15" hidden="false" customHeight="false" outlineLevel="0" collapsed="false">
      <c r="A425" s="13" t="s">
        <v>492</v>
      </c>
      <c r="B425" s="12" t="s">
        <v>24</v>
      </c>
      <c r="C425" s="12" t="s">
        <v>20</v>
      </c>
      <c r="D425" s="13" t="s">
        <v>410</v>
      </c>
      <c r="E425" s="14" t="n">
        <v>45321</v>
      </c>
      <c r="F425" s="15" t="n">
        <f aca="false">ROUND((IF(K425="",DATE(2026,9,30),K425)-E425)/365.25,1)</f>
        <v>2.7</v>
      </c>
      <c r="G425" s="12"/>
      <c r="H425" s="16" t="n">
        <v>45808</v>
      </c>
      <c r="I425" s="12" t="s">
        <v>241</v>
      </c>
      <c r="J425" s="12" t="s">
        <v>47</v>
      </c>
      <c r="K425" s="12"/>
      <c r="L425" s="12"/>
      <c r="M425" s="12" t="s">
        <v>70</v>
      </c>
      <c r="N425" s="12"/>
    </row>
    <row r="426" customFormat="false" ht="15" hidden="false" customHeight="false" outlineLevel="0" collapsed="false">
      <c r="A426" s="13" t="s">
        <v>493</v>
      </c>
      <c r="B426" s="12" t="s">
        <v>24</v>
      </c>
      <c r="C426" s="12" t="s">
        <v>20</v>
      </c>
      <c r="D426" s="13" t="s">
        <v>408</v>
      </c>
      <c r="E426" s="14" t="n">
        <v>45293</v>
      </c>
      <c r="F426" s="15" t="n">
        <f aca="false">ROUND((IF(K426="",DATE(2026,9,30),K426)-E426)/365.25,1)</f>
        <v>2.1</v>
      </c>
      <c r="G426" s="12"/>
      <c r="H426" s="16" t="n">
        <v>45808</v>
      </c>
      <c r="I426" s="12" t="s">
        <v>241</v>
      </c>
      <c r="J426" s="12" t="s">
        <v>42</v>
      </c>
      <c r="K426" s="17" t="n">
        <v>46046</v>
      </c>
      <c r="L426" s="12"/>
      <c r="M426" s="12" t="s">
        <v>70</v>
      </c>
      <c r="N426" s="12"/>
    </row>
    <row r="427" customFormat="false" ht="15" hidden="false" customHeight="false" outlineLevel="0" collapsed="false">
      <c r="A427" s="13" t="s">
        <v>494</v>
      </c>
      <c r="B427" s="12" t="s">
        <v>24</v>
      </c>
      <c r="C427" s="12" t="s">
        <v>20</v>
      </c>
      <c r="D427" s="13" t="s">
        <v>419</v>
      </c>
      <c r="E427" s="14" t="n">
        <v>44084</v>
      </c>
      <c r="F427" s="15" t="n">
        <f aca="false">ROUND((IF(K427="",DATE(2026,9,30),K427)-E427)/365.25,1)</f>
        <v>5.1</v>
      </c>
      <c r="G427" s="12"/>
      <c r="H427" s="16" t="n">
        <v>45808</v>
      </c>
      <c r="I427" s="12" t="s">
        <v>241</v>
      </c>
      <c r="J427" s="12" t="s">
        <v>42</v>
      </c>
      <c r="K427" s="17" t="n">
        <v>45961</v>
      </c>
      <c r="L427" s="12"/>
      <c r="M427" s="12" t="s">
        <v>70</v>
      </c>
      <c r="N427" s="12"/>
    </row>
    <row r="428" customFormat="false" ht="15" hidden="false" customHeight="false" outlineLevel="0" collapsed="false">
      <c r="A428" s="13" t="s">
        <v>495</v>
      </c>
      <c r="B428" s="12" t="s">
        <v>24</v>
      </c>
      <c r="C428" s="12" t="s">
        <v>20</v>
      </c>
      <c r="D428" s="13" t="s">
        <v>410</v>
      </c>
      <c r="E428" s="14" t="n">
        <v>43639</v>
      </c>
      <c r="F428" s="15" t="n">
        <f aca="false">ROUND((IF(K428="",DATE(2026,9,30),K428)-E428)/365.25,1)</f>
        <v>7.2</v>
      </c>
      <c r="G428" s="12"/>
      <c r="H428" s="16" t="n">
        <v>45808</v>
      </c>
      <c r="I428" s="12" t="s">
        <v>241</v>
      </c>
      <c r="J428" s="12" t="s">
        <v>55</v>
      </c>
      <c r="K428" s="17" t="n">
        <v>46270</v>
      </c>
      <c r="L428" s="12"/>
      <c r="M428" s="12" t="s">
        <v>70</v>
      </c>
      <c r="N428" s="12"/>
    </row>
    <row r="429" customFormat="false" ht="15" hidden="false" customHeight="false" outlineLevel="0" collapsed="false">
      <c r="A429" s="13" t="s">
        <v>496</v>
      </c>
      <c r="B429" s="12" t="s">
        <v>24</v>
      </c>
      <c r="C429" s="12" t="s">
        <v>20</v>
      </c>
      <c r="D429" s="13" t="s">
        <v>410</v>
      </c>
      <c r="E429" s="14" t="n">
        <v>44218</v>
      </c>
      <c r="F429" s="15" t="n">
        <f aca="false">ROUND((IF(K429="",DATE(2026,9,30),K429)-E429)/365.25,1)</f>
        <v>4.8</v>
      </c>
      <c r="G429" s="12"/>
      <c r="H429" s="16" t="n">
        <v>45808</v>
      </c>
      <c r="I429" s="12" t="s">
        <v>241</v>
      </c>
      <c r="J429" s="12" t="s">
        <v>42</v>
      </c>
      <c r="K429" s="17" t="n">
        <v>45960</v>
      </c>
      <c r="L429" s="12"/>
      <c r="M429" s="12" t="s">
        <v>70</v>
      </c>
      <c r="N429" s="12"/>
    </row>
    <row r="430" customFormat="false" ht="15" hidden="false" customHeight="false" outlineLevel="0" collapsed="false">
      <c r="A430" s="13" t="s">
        <v>497</v>
      </c>
      <c r="B430" s="12" t="s">
        <v>24</v>
      </c>
      <c r="C430" s="12" t="s">
        <v>20</v>
      </c>
      <c r="D430" s="13" t="s">
        <v>410</v>
      </c>
      <c r="E430" s="14" t="n">
        <v>44769</v>
      </c>
      <c r="F430" s="15" t="n">
        <f aca="false">ROUND((IF(K430="",DATE(2026,9,30),K430)-E430)/365.25,1)</f>
        <v>4.2</v>
      </c>
      <c r="G430" s="12"/>
      <c r="H430" s="16" t="n">
        <v>45808</v>
      </c>
      <c r="I430" s="12" t="s">
        <v>241</v>
      </c>
      <c r="J430" s="12" t="s">
        <v>47</v>
      </c>
      <c r="K430" s="12"/>
      <c r="L430" s="12"/>
      <c r="M430" s="12" t="s">
        <v>70</v>
      </c>
      <c r="N430" s="12"/>
    </row>
    <row r="431" customFormat="false" ht="15" hidden="false" customHeight="false" outlineLevel="0" collapsed="false">
      <c r="A431" s="13" t="s">
        <v>498</v>
      </c>
      <c r="B431" s="12" t="s">
        <v>24</v>
      </c>
      <c r="C431" s="12" t="s">
        <v>20</v>
      </c>
      <c r="D431" s="13" t="s">
        <v>410</v>
      </c>
      <c r="E431" s="14" t="n">
        <v>44308</v>
      </c>
      <c r="F431" s="15" t="n">
        <f aca="false">ROUND((IF(K431="",DATE(2026,9,30),K431)-E431)/365.25,1)</f>
        <v>5.4</v>
      </c>
      <c r="G431" s="12"/>
      <c r="H431" s="16" t="n">
        <v>45808</v>
      </c>
      <c r="I431" s="12" t="s">
        <v>241</v>
      </c>
      <c r="J431" s="12" t="s">
        <v>47</v>
      </c>
      <c r="K431" s="12"/>
      <c r="L431" s="12"/>
      <c r="M431" s="12" t="s">
        <v>70</v>
      </c>
      <c r="N431" s="12"/>
    </row>
    <row r="432" customFormat="false" ht="15" hidden="false" customHeight="false" outlineLevel="0" collapsed="false">
      <c r="A432" s="13" t="s">
        <v>499</v>
      </c>
      <c r="B432" s="12" t="s">
        <v>24</v>
      </c>
      <c r="C432" s="12" t="s">
        <v>20</v>
      </c>
      <c r="D432" s="13" t="s">
        <v>410</v>
      </c>
      <c r="E432" s="14" t="n">
        <v>44515</v>
      </c>
      <c r="F432" s="15" t="n">
        <f aca="false">ROUND((IF(K432="",DATE(2026,9,30),K432)-E432)/365.25,1)</f>
        <v>4.9</v>
      </c>
      <c r="G432" s="12"/>
      <c r="H432" s="16" t="n">
        <v>45808</v>
      </c>
      <c r="I432" s="12" t="s">
        <v>241</v>
      </c>
      <c r="J432" s="12" t="s">
        <v>47</v>
      </c>
      <c r="K432" s="12"/>
      <c r="L432" s="12"/>
      <c r="M432" s="12" t="s">
        <v>70</v>
      </c>
      <c r="N432" s="12"/>
    </row>
    <row r="433" customFormat="false" ht="15" hidden="false" customHeight="false" outlineLevel="0" collapsed="false">
      <c r="A433" s="13" t="s">
        <v>500</v>
      </c>
      <c r="B433" s="12" t="s">
        <v>24</v>
      </c>
      <c r="C433" s="12" t="s">
        <v>20</v>
      </c>
      <c r="D433" s="13" t="s">
        <v>419</v>
      </c>
      <c r="E433" s="14" t="n">
        <v>43901</v>
      </c>
      <c r="F433" s="15" t="n">
        <f aca="false">ROUND((IF(K433="",DATE(2026,9,30),K433)-E433)/365.25,1)</f>
        <v>5.8</v>
      </c>
      <c r="G433" s="12"/>
      <c r="H433" s="16" t="n">
        <v>45808</v>
      </c>
      <c r="I433" s="12" t="s">
        <v>241</v>
      </c>
      <c r="J433" s="12" t="s">
        <v>55</v>
      </c>
      <c r="K433" s="17" t="n">
        <v>46007</v>
      </c>
      <c r="L433" s="12"/>
      <c r="M433" s="12" t="s">
        <v>70</v>
      </c>
      <c r="N433" s="12"/>
    </row>
    <row r="434" customFormat="false" ht="15" hidden="false" customHeight="false" outlineLevel="0" collapsed="false">
      <c r="A434" s="13" t="s">
        <v>501</v>
      </c>
      <c r="B434" s="12" t="s">
        <v>24</v>
      </c>
      <c r="C434" s="12" t="s">
        <v>20</v>
      </c>
      <c r="D434" s="13" t="s">
        <v>419</v>
      </c>
      <c r="E434" s="14" t="n">
        <v>44243</v>
      </c>
      <c r="F434" s="15" t="n">
        <f aca="false">ROUND((IF(K434="",DATE(2026,9,30),K434)-E434)/365.25,1)</f>
        <v>5.6</v>
      </c>
      <c r="G434" s="12"/>
      <c r="H434" s="16" t="n">
        <v>45808</v>
      </c>
      <c r="I434" s="12" t="s">
        <v>241</v>
      </c>
      <c r="J434" s="12" t="s">
        <v>47</v>
      </c>
      <c r="K434" s="12"/>
      <c r="L434" s="12"/>
      <c r="M434" s="12" t="s">
        <v>70</v>
      </c>
      <c r="N434" s="12"/>
    </row>
    <row r="435" customFormat="false" ht="15" hidden="false" customHeight="false" outlineLevel="0" collapsed="false">
      <c r="A435" s="13" t="s">
        <v>502</v>
      </c>
      <c r="B435" s="12" t="s">
        <v>24</v>
      </c>
      <c r="C435" s="12" t="s">
        <v>20</v>
      </c>
      <c r="D435" s="13" t="s">
        <v>410</v>
      </c>
      <c r="E435" s="14" t="n">
        <v>45332</v>
      </c>
      <c r="F435" s="15" t="n">
        <f aca="false">ROUND((IF(K435="",DATE(2026,9,30),K435)-E435)/365.25,1)</f>
        <v>2.6</v>
      </c>
      <c r="G435" s="12"/>
      <c r="H435" s="16" t="n">
        <v>45808</v>
      </c>
      <c r="I435" s="12" t="s">
        <v>241</v>
      </c>
      <c r="J435" s="12" t="s">
        <v>47</v>
      </c>
      <c r="K435" s="12"/>
      <c r="L435" s="12"/>
      <c r="M435" s="12" t="s">
        <v>70</v>
      </c>
      <c r="N435" s="12"/>
    </row>
    <row r="436" customFormat="false" ht="15" hidden="false" customHeight="false" outlineLevel="0" collapsed="false">
      <c r="A436" s="13" t="s">
        <v>503</v>
      </c>
      <c r="B436" s="12" t="s">
        <v>24</v>
      </c>
      <c r="C436" s="12" t="s">
        <v>20</v>
      </c>
      <c r="D436" s="13" t="s">
        <v>410</v>
      </c>
      <c r="E436" s="14" t="n">
        <v>44926</v>
      </c>
      <c r="F436" s="15" t="n">
        <f aca="false">ROUND((IF(K436="",DATE(2026,9,30),K436)-E436)/365.25,1)</f>
        <v>2.7</v>
      </c>
      <c r="G436" s="12"/>
      <c r="H436" s="16" t="n">
        <v>45808</v>
      </c>
      <c r="I436" s="12" t="s">
        <v>241</v>
      </c>
      <c r="J436" s="12" t="s">
        <v>42</v>
      </c>
      <c r="K436" s="17" t="n">
        <v>45918</v>
      </c>
      <c r="L436" s="12"/>
      <c r="M436" s="12" t="s">
        <v>70</v>
      </c>
      <c r="N436" s="12"/>
    </row>
    <row r="437" customFormat="false" ht="15" hidden="false" customHeight="false" outlineLevel="0" collapsed="false">
      <c r="A437" s="13" t="s">
        <v>504</v>
      </c>
      <c r="B437" s="12" t="s">
        <v>24</v>
      </c>
      <c r="C437" s="12" t="s">
        <v>20</v>
      </c>
      <c r="D437" s="13" t="s">
        <v>410</v>
      </c>
      <c r="E437" s="14" t="n">
        <v>45022</v>
      </c>
      <c r="F437" s="15" t="n">
        <f aca="false">ROUND((IF(K437="",DATE(2026,9,30),K437)-E437)/365.25,1)</f>
        <v>3.5</v>
      </c>
      <c r="G437" s="12"/>
      <c r="H437" s="16" t="n">
        <v>45808</v>
      </c>
      <c r="I437" s="12" t="s">
        <v>241</v>
      </c>
      <c r="J437" s="12" t="s">
        <v>47</v>
      </c>
      <c r="K437" s="12"/>
      <c r="L437" s="12"/>
      <c r="M437" s="12" t="s">
        <v>70</v>
      </c>
      <c r="N437" s="12"/>
    </row>
    <row r="438" customFormat="false" ht="15" hidden="false" customHeight="false" outlineLevel="0" collapsed="false">
      <c r="A438" s="13" t="s">
        <v>505</v>
      </c>
      <c r="B438" s="12" t="s">
        <v>24</v>
      </c>
      <c r="C438" s="12" t="s">
        <v>20</v>
      </c>
      <c r="D438" s="13" t="s">
        <v>408</v>
      </c>
      <c r="E438" s="14" t="n">
        <v>44473</v>
      </c>
      <c r="F438" s="15" t="n">
        <f aca="false">ROUND((IF(K438="",DATE(2026,9,30),K438)-E438)/365.25,1)</f>
        <v>5</v>
      </c>
      <c r="G438" s="12"/>
      <c r="H438" s="16" t="n">
        <v>45808</v>
      </c>
      <c r="I438" s="12" t="s">
        <v>241</v>
      </c>
      <c r="J438" s="12" t="s">
        <v>47</v>
      </c>
      <c r="K438" s="12"/>
      <c r="L438" s="12"/>
      <c r="M438" s="12" t="s">
        <v>70</v>
      </c>
      <c r="N438" s="12"/>
    </row>
    <row r="439" customFormat="false" ht="15" hidden="false" customHeight="false" outlineLevel="0" collapsed="false">
      <c r="A439" s="13" t="s">
        <v>506</v>
      </c>
      <c r="B439" s="12" t="s">
        <v>24</v>
      </c>
      <c r="C439" s="12" t="s">
        <v>20</v>
      </c>
      <c r="D439" s="13" t="s">
        <v>419</v>
      </c>
      <c r="E439" s="14" t="n">
        <v>44670</v>
      </c>
      <c r="F439" s="15" t="n">
        <f aca="false">ROUND((IF(K439="",DATE(2026,9,30),K439)-E439)/365.25,1)</f>
        <v>4.4</v>
      </c>
      <c r="G439" s="12"/>
      <c r="H439" s="16" t="n">
        <v>45808</v>
      </c>
      <c r="I439" s="12" t="s">
        <v>241</v>
      </c>
      <c r="J439" s="12" t="s">
        <v>47</v>
      </c>
      <c r="K439" s="12"/>
      <c r="L439" s="12"/>
      <c r="M439" s="12" t="s">
        <v>70</v>
      </c>
      <c r="N439" s="12"/>
    </row>
    <row r="440" customFormat="false" ht="15" hidden="false" customHeight="false" outlineLevel="0" collapsed="false">
      <c r="A440" s="13" t="s">
        <v>507</v>
      </c>
      <c r="B440" s="12" t="s">
        <v>24</v>
      </c>
      <c r="C440" s="12" t="s">
        <v>20</v>
      </c>
      <c r="D440" s="13" t="s">
        <v>410</v>
      </c>
      <c r="E440" s="14" t="n">
        <v>44351</v>
      </c>
      <c r="F440" s="15" t="n">
        <f aca="false">ROUND((IF(K440="",DATE(2026,9,30),K440)-E440)/365.25,1)</f>
        <v>4.2</v>
      </c>
      <c r="G440" s="12"/>
      <c r="H440" s="16" t="n">
        <v>45808</v>
      </c>
      <c r="I440" s="12" t="s">
        <v>241</v>
      </c>
      <c r="J440" s="12" t="s">
        <v>42</v>
      </c>
      <c r="K440" s="17" t="n">
        <v>45888</v>
      </c>
      <c r="L440" s="12"/>
      <c r="M440" s="12" t="s">
        <v>70</v>
      </c>
      <c r="N440" s="12"/>
    </row>
    <row r="441" customFormat="false" ht="15" hidden="false" customHeight="false" outlineLevel="0" collapsed="false">
      <c r="A441" s="13" t="s">
        <v>508</v>
      </c>
      <c r="B441" s="12" t="s">
        <v>24</v>
      </c>
      <c r="C441" s="12" t="s">
        <v>20</v>
      </c>
      <c r="D441" s="13" t="s">
        <v>408</v>
      </c>
      <c r="E441" s="14" t="n">
        <v>43859</v>
      </c>
      <c r="F441" s="15" t="n">
        <f aca="false">ROUND((IF(K441="",DATE(2026,9,30),K441)-E441)/365.25,1)</f>
        <v>5.4</v>
      </c>
      <c r="G441" s="12"/>
      <c r="H441" s="16" t="n">
        <v>45808</v>
      </c>
      <c r="I441" s="12" t="s">
        <v>241</v>
      </c>
      <c r="J441" s="12" t="s">
        <v>55</v>
      </c>
      <c r="K441" s="17" t="n">
        <v>45819</v>
      </c>
      <c r="L441" s="12"/>
      <c r="M441" s="12" t="s">
        <v>70</v>
      </c>
      <c r="N441" s="12"/>
    </row>
    <row r="442" customFormat="false" ht="15" hidden="false" customHeight="false" outlineLevel="0" collapsed="false">
      <c r="A442" s="13" t="s">
        <v>509</v>
      </c>
      <c r="B442" s="12" t="s">
        <v>24</v>
      </c>
      <c r="C442" s="12" t="s">
        <v>20</v>
      </c>
      <c r="D442" s="13" t="s">
        <v>408</v>
      </c>
      <c r="E442" s="14" t="n">
        <v>44105</v>
      </c>
      <c r="F442" s="15" t="n">
        <f aca="false">ROUND((IF(K442="",DATE(2026,9,30),K442)-E442)/365.25,1)</f>
        <v>6</v>
      </c>
      <c r="G442" s="12"/>
      <c r="H442" s="16" t="n">
        <v>45808</v>
      </c>
      <c r="I442" s="12" t="s">
        <v>241</v>
      </c>
      <c r="J442" s="12" t="s">
        <v>47</v>
      </c>
      <c r="K442" s="12"/>
      <c r="L442" s="12"/>
      <c r="M442" s="12" t="s">
        <v>70</v>
      </c>
      <c r="N442" s="12"/>
    </row>
    <row r="443" customFormat="false" ht="15" hidden="false" customHeight="false" outlineLevel="0" collapsed="false">
      <c r="A443" s="13" t="s">
        <v>510</v>
      </c>
      <c r="B443" s="12" t="s">
        <v>24</v>
      </c>
      <c r="C443" s="12" t="s">
        <v>20</v>
      </c>
      <c r="D443" s="13" t="s">
        <v>408</v>
      </c>
      <c r="E443" s="14" t="n">
        <v>44479</v>
      </c>
      <c r="F443" s="15" t="n">
        <f aca="false">ROUND((IF(K443="",DATE(2026,9,30),K443)-E443)/365.25,1)</f>
        <v>4.6</v>
      </c>
      <c r="G443" s="12"/>
      <c r="H443" s="16" t="n">
        <v>45808</v>
      </c>
      <c r="I443" s="12" t="s">
        <v>241</v>
      </c>
      <c r="J443" s="12" t="s">
        <v>55</v>
      </c>
      <c r="K443" s="17" t="n">
        <v>46171</v>
      </c>
      <c r="L443" s="12"/>
      <c r="M443" s="12" t="s">
        <v>70</v>
      </c>
      <c r="N443" s="12"/>
    </row>
    <row r="444" customFormat="false" ht="15" hidden="false" customHeight="false" outlineLevel="0" collapsed="false">
      <c r="A444" s="13" t="s">
        <v>511</v>
      </c>
      <c r="B444" s="12" t="s">
        <v>24</v>
      </c>
      <c r="C444" s="12" t="s">
        <v>20</v>
      </c>
      <c r="D444" s="13" t="s">
        <v>410</v>
      </c>
      <c r="E444" s="14" t="n">
        <v>44029</v>
      </c>
      <c r="F444" s="15" t="n">
        <f aca="false">ROUND((IF(K444="",DATE(2026,9,30),K444)-E444)/365.25,1)</f>
        <v>4.9</v>
      </c>
      <c r="G444" s="12"/>
      <c r="H444" s="16" t="n">
        <v>45808</v>
      </c>
      <c r="I444" s="12" t="s">
        <v>241</v>
      </c>
      <c r="J444" s="12" t="s">
        <v>42</v>
      </c>
      <c r="K444" s="17" t="n">
        <v>45821</v>
      </c>
      <c r="L444" s="12"/>
      <c r="M444" s="12" t="s">
        <v>70</v>
      </c>
      <c r="N444" s="12"/>
    </row>
    <row r="445" customFormat="false" ht="15" hidden="false" customHeight="false" outlineLevel="0" collapsed="false">
      <c r="A445" s="13" t="s">
        <v>512</v>
      </c>
      <c r="B445" s="12" t="s">
        <v>24</v>
      </c>
      <c r="C445" s="12" t="s">
        <v>20</v>
      </c>
      <c r="D445" s="13" t="s">
        <v>408</v>
      </c>
      <c r="E445" s="14" t="n">
        <v>43652</v>
      </c>
      <c r="F445" s="15" t="n">
        <f aca="false">ROUND((IF(K445="",DATE(2026,9,30),K445)-E445)/365.25,1)</f>
        <v>7.2</v>
      </c>
      <c r="G445" s="12"/>
      <c r="H445" s="16" t="n">
        <v>45808</v>
      </c>
      <c r="I445" s="12" t="s">
        <v>241</v>
      </c>
      <c r="J445" s="12" t="s">
        <v>47</v>
      </c>
      <c r="K445" s="12"/>
      <c r="L445" s="12"/>
      <c r="M445" s="12" t="s">
        <v>70</v>
      </c>
      <c r="N445" s="12"/>
    </row>
    <row r="446" customFormat="false" ht="15" hidden="false" customHeight="false" outlineLevel="0" collapsed="false">
      <c r="A446" s="13" t="s">
        <v>513</v>
      </c>
      <c r="B446" s="12" t="s">
        <v>24</v>
      </c>
      <c r="C446" s="12" t="s">
        <v>20</v>
      </c>
      <c r="D446" s="13" t="s">
        <v>408</v>
      </c>
      <c r="E446" s="14" t="n">
        <v>45212</v>
      </c>
      <c r="F446" s="15" t="n">
        <f aca="false">ROUND((IF(K446="",DATE(2026,9,30),K446)-E446)/365.25,1)</f>
        <v>3</v>
      </c>
      <c r="G446" s="12"/>
      <c r="H446" s="16" t="n">
        <v>45808</v>
      </c>
      <c r="I446" s="12" t="s">
        <v>241</v>
      </c>
      <c r="J446" s="12" t="s">
        <v>47</v>
      </c>
      <c r="K446" s="12"/>
      <c r="L446" s="12"/>
      <c r="M446" s="12" t="s">
        <v>70</v>
      </c>
      <c r="N446" s="12"/>
    </row>
    <row r="447" customFormat="false" ht="15" hidden="false" customHeight="false" outlineLevel="0" collapsed="false">
      <c r="A447" s="13" t="s">
        <v>414</v>
      </c>
      <c r="B447" s="12" t="s">
        <v>24</v>
      </c>
      <c r="C447" s="12" t="s">
        <v>20</v>
      </c>
      <c r="D447" s="13" t="s">
        <v>408</v>
      </c>
      <c r="E447" s="14" t="n">
        <v>43663</v>
      </c>
      <c r="F447" s="15" t="n">
        <f aca="false">ROUND((IF(K447="",DATE(2026,9,30),K447)-E447)/365.25,1)</f>
        <v>7.2</v>
      </c>
      <c r="G447" s="12"/>
      <c r="H447" s="16" t="n">
        <v>45808</v>
      </c>
      <c r="I447" s="12" t="s">
        <v>241</v>
      </c>
      <c r="J447" s="12" t="s">
        <v>47</v>
      </c>
      <c r="K447" s="12"/>
      <c r="L447" s="12"/>
      <c r="M447" s="12" t="s">
        <v>70</v>
      </c>
      <c r="N447" s="12"/>
    </row>
    <row r="448" customFormat="false" ht="15" hidden="false" customHeight="false" outlineLevel="0" collapsed="false">
      <c r="A448" s="13" t="s">
        <v>514</v>
      </c>
      <c r="B448" s="12" t="s">
        <v>24</v>
      </c>
      <c r="C448" s="12" t="s">
        <v>20</v>
      </c>
      <c r="D448" s="13" t="s">
        <v>410</v>
      </c>
      <c r="E448" s="14" t="n">
        <v>44801</v>
      </c>
      <c r="F448" s="15" t="n">
        <f aca="false">ROUND((IF(K448="",DATE(2026,9,30),K448)-E448)/365.25,1)</f>
        <v>3.1</v>
      </c>
      <c r="G448" s="12"/>
      <c r="H448" s="16" t="n">
        <v>45808</v>
      </c>
      <c r="I448" s="12" t="s">
        <v>241</v>
      </c>
      <c r="J448" s="12" t="s">
        <v>42</v>
      </c>
      <c r="K448" s="17" t="n">
        <v>45934</v>
      </c>
      <c r="L448" s="12"/>
      <c r="M448" s="12" t="s">
        <v>70</v>
      </c>
      <c r="N448" s="12"/>
    </row>
    <row r="449" customFormat="false" ht="15" hidden="false" customHeight="false" outlineLevel="0" collapsed="false">
      <c r="A449" s="13" t="s">
        <v>515</v>
      </c>
      <c r="B449" s="12" t="s">
        <v>24</v>
      </c>
      <c r="C449" s="12" t="s">
        <v>20</v>
      </c>
      <c r="D449" s="13" t="s">
        <v>410</v>
      </c>
      <c r="E449" s="14" t="n">
        <v>44213</v>
      </c>
      <c r="F449" s="15" t="n">
        <f aca="false">ROUND((IF(K449="",DATE(2026,9,30),K449)-E449)/365.25,1)</f>
        <v>5.7</v>
      </c>
      <c r="G449" s="12"/>
      <c r="H449" s="16" t="n">
        <v>45808</v>
      </c>
      <c r="I449" s="12" t="s">
        <v>241</v>
      </c>
      <c r="J449" s="12" t="s">
        <v>47</v>
      </c>
      <c r="K449" s="12"/>
      <c r="L449" s="12"/>
      <c r="M449" s="12" t="s">
        <v>70</v>
      </c>
      <c r="N449" s="12"/>
    </row>
    <row r="450" customFormat="false" ht="15" hidden="false" customHeight="false" outlineLevel="0" collapsed="false">
      <c r="A450" s="13" t="s">
        <v>516</v>
      </c>
      <c r="B450" s="12" t="s">
        <v>24</v>
      </c>
      <c r="C450" s="12" t="s">
        <v>20</v>
      </c>
      <c r="D450" s="13" t="s">
        <v>408</v>
      </c>
      <c r="E450" s="14" t="n">
        <v>45053</v>
      </c>
      <c r="F450" s="15" t="n">
        <f aca="false">ROUND((IF(K450="",DATE(2026,9,30),K450)-E450)/365.25,1)</f>
        <v>3.4</v>
      </c>
      <c r="G450" s="12"/>
      <c r="H450" s="16" t="n">
        <v>45808</v>
      </c>
      <c r="I450" s="12" t="s">
        <v>241</v>
      </c>
      <c r="J450" s="12" t="s">
        <v>47</v>
      </c>
      <c r="K450" s="12"/>
      <c r="L450" s="12"/>
      <c r="M450" s="12" t="s">
        <v>70</v>
      </c>
      <c r="N450" s="12"/>
    </row>
    <row r="451" customFormat="false" ht="15" hidden="false" customHeight="false" outlineLevel="0" collapsed="false">
      <c r="A451" s="13" t="s">
        <v>517</v>
      </c>
      <c r="B451" s="12" t="s">
        <v>24</v>
      </c>
      <c r="C451" s="12" t="s">
        <v>20</v>
      </c>
      <c r="D451" s="13" t="s">
        <v>419</v>
      </c>
      <c r="E451" s="14" t="n">
        <v>43858</v>
      </c>
      <c r="F451" s="15" t="n">
        <f aca="false">ROUND((IF(K451="",DATE(2026,9,30),K451)-E451)/365.25,1)</f>
        <v>6</v>
      </c>
      <c r="G451" s="12"/>
      <c r="H451" s="16" t="n">
        <v>45808</v>
      </c>
      <c r="I451" s="12" t="s">
        <v>241</v>
      </c>
      <c r="J451" s="12" t="s">
        <v>42</v>
      </c>
      <c r="K451" s="17" t="n">
        <v>46046</v>
      </c>
      <c r="L451" s="12"/>
      <c r="M451" s="12" t="s">
        <v>70</v>
      </c>
      <c r="N451" s="12"/>
    </row>
    <row r="452" customFormat="false" ht="15" hidden="false" customHeight="false" outlineLevel="0" collapsed="false">
      <c r="A452" s="13" t="s">
        <v>518</v>
      </c>
      <c r="B452" s="12" t="s">
        <v>24</v>
      </c>
      <c r="C452" s="12" t="s">
        <v>20</v>
      </c>
      <c r="D452" s="13" t="s">
        <v>408</v>
      </c>
      <c r="E452" s="14" t="n">
        <v>44040</v>
      </c>
      <c r="F452" s="15" t="n">
        <f aca="false">ROUND((IF(K452="",DATE(2026,9,30),K452)-E452)/365.25,1)</f>
        <v>6.2</v>
      </c>
      <c r="G452" s="12"/>
      <c r="H452" s="16" t="n">
        <v>45808</v>
      </c>
      <c r="I452" s="12" t="s">
        <v>241</v>
      </c>
      <c r="J452" s="12" t="s">
        <v>47</v>
      </c>
      <c r="K452" s="12"/>
      <c r="L452" s="12"/>
      <c r="M452" s="12" t="s">
        <v>70</v>
      </c>
      <c r="N452" s="12"/>
    </row>
    <row r="453" customFormat="false" ht="15" hidden="false" customHeight="false" outlineLevel="0" collapsed="false">
      <c r="A453" s="13" t="s">
        <v>411</v>
      </c>
      <c r="B453" s="12" t="s">
        <v>24</v>
      </c>
      <c r="C453" s="12" t="s">
        <v>20</v>
      </c>
      <c r="D453" s="13" t="s">
        <v>410</v>
      </c>
      <c r="E453" s="14" t="n">
        <v>44459</v>
      </c>
      <c r="F453" s="15" t="n">
        <f aca="false">ROUND((IF(K453="",DATE(2026,9,30),K453)-E453)/365.25,1)</f>
        <v>4.6</v>
      </c>
      <c r="G453" s="12"/>
      <c r="H453" s="16" t="n">
        <v>45808</v>
      </c>
      <c r="I453" s="12" t="s">
        <v>241</v>
      </c>
      <c r="J453" s="12" t="s">
        <v>55</v>
      </c>
      <c r="K453" s="17" t="n">
        <v>46157</v>
      </c>
      <c r="L453" s="12"/>
      <c r="M453" s="12" t="s">
        <v>70</v>
      </c>
      <c r="N453" s="12"/>
    </row>
    <row r="454" customFormat="false" ht="15" hidden="false" customHeight="false" outlineLevel="0" collapsed="false">
      <c r="A454" s="13" t="s">
        <v>519</v>
      </c>
      <c r="B454" s="12" t="s">
        <v>24</v>
      </c>
      <c r="C454" s="12" t="s">
        <v>20</v>
      </c>
      <c r="D454" s="13" t="s">
        <v>408</v>
      </c>
      <c r="E454" s="14" t="n">
        <v>44266</v>
      </c>
      <c r="F454" s="15" t="n">
        <f aca="false">ROUND((IF(K454="",DATE(2026,9,30),K454)-E454)/365.25,1)</f>
        <v>4.3</v>
      </c>
      <c r="G454" s="12"/>
      <c r="H454" s="16" t="n">
        <v>45808</v>
      </c>
      <c r="I454" s="12" t="s">
        <v>241</v>
      </c>
      <c r="J454" s="12" t="s">
        <v>55</v>
      </c>
      <c r="K454" s="17" t="n">
        <v>45819</v>
      </c>
      <c r="L454" s="12"/>
      <c r="M454" s="12" t="s">
        <v>70</v>
      </c>
      <c r="N454" s="12"/>
    </row>
    <row r="455" customFormat="false" ht="15" hidden="false" customHeight="false" outlineLevel="0" collapsed="false">
      <c r="A455" s="13" t="s">
        <v>520</v>
      </c>
      <c r="B455" s="12" t="s">
        <v>24</v>
      </c>
      <c r="C455" s="12" t="s">
        <v>20</v>
      </c>
      <c r="D455" s="13" t="s">
        <v>419</v>
      </c>
      <c r="E455" s="14" t="n">
        <v>43654</v>
      </c>
      <c r="F455" s="15" t="n">
        <f aca="false">ROUND((IF(K455="",DATE(2026,9,30),K455)-E455)/365.25,1)</f>
        <v>7.2</v>
      </c>
      <c r="G455" s="12"/>
      <c r="H455" s="16" t="n">
        <v>45808</v>
      </c>
      <c r="I455" s="12" t="s">
        <v>241</v>
      </c>
      <c r="J455" s="12" t="s">
        <v>47</v>
      </c>
      <c r="K455" s="12"/>
      <c r="L455" s="12"/>
      <c r="M455" s="12" t="s">
        <v>70</v>
      </c>
      <c r="N455" s="12"/>
    </row>
    <row r="456" customFormat="false" ht="15" hidden="false" customHeight="false" outlineLevel="0" collapsed="false">
      <c r="A456" s="13" t="s">
        <v>521</v>
      </c>
      <c r="B456" s="12" t="s">
        <v>24</v>
      </c>
      <c r="C456" s="12" t="s">
        <v>20</v>
      </c>
      <c r="D456" s="13" t="s">
        <v>419</v>
      </c>
      <c r="E456" s="14" t="n">
        <v>44558</v>
      </c>
      <c r="F456" s="15" t="n">
        <f aca="false">ROUND((IF(K456="",DATE(2026,9,30),K456)-E456)/365.25,1)</f>
        <v>4.8</v>
      </c>
      <c r="G456" s="12"/>
      <c r="H456" s="16" t="n">
        <v>45808</v>
      </c>
      <c r="I456" s="12" t="s">
        <v>241</v>
      </c>
      <c r="J456" s="12" t="s">
        <v>47</v>
      </c>
      <c r="K456" s="12"/>
      <c r="L456" s="12"/>
      <c r="M456" s="12" t="s">
        <v>70</v>
      </c>
      <c r="N456" s="12"/>
    </row>
    <row r="457" customFormat="false" ht="15" hidden="false" customHeight="false" outlineLevel="0" collapsed="false">
      <c r="A457" s="13" t="s">
        <v>522</v>
      </c>
      <c r="B457" s="12" t="s">
        <v>24</v>
      </c>
      <c r="C457" s="12" t="s">
        <v>20</v>
      </c>
      <c r="D457" s="13" t="s">
        <v>408</v>
      </c>
      <c r="E457" s="14" t="n">
        <v>44619</v>
      </c>
      <c r="F457" s="15" t="n">
        <f aca="false">ROUND((IF(K457="",DATE(2026,9,30),K457)-E457)/365.25,1)</f>
        <v>4.6</v>
      </c>
      <c r="G457" s="12"/>
      <c r="H457" s="16" t="n">
        <v>45808</v>
      </c>
      <c r="I457" s="12" t="s">
        <v>241</v>
      </c>
      <c r="J457" s="12" t="s">
        <v>47</v>
      </c>
      <c r="K457" s="12"/>
      <c r="L457" s="12"/>
      <c r="M457" s="12" t="s">
        <v>70</v>
      </c>
      <c r="N457" s="12"/>
    </row>
    <row r="458" customFormat="false" ht="15" hidden="false" customHeight="false" outlineLevel="0" collapsed="false">
      <c r="A458" s="13" t="s">
        <v>523</v>
      </c>
      <c r="B458" s="12" t="s">
        <v>24</v>
      </c>
      <c r="C458" s="12" t="s">
        <v>20</v>
      </c>
      <c r="D458" s="13" t="s">
        <v>419</v>
      </c>
      <c r="E458" s="14" t="n">
        <v>45149</v>
      </c>
      <c r="F458" s="15" t="n">
        <f aca="false">ROUND((IF(K458="",DATE(2026,9,30),K458)-E458)/365.25,1)</f>
        <v>3.1</v>
      </c>
      <c r="G458" s="12"/>
      <c r="H458" s="16" t="n">
        <v>45808</v>
      </c>
      <c r="I458" s="12" t="s">
        <v>241</v>
      </c>
      <c r="J458" s="12" t="s">
        <v>47</v>
      </c>
      <c r="K458" s="12"/>
      <c r="L458" s="12"/>
      <c r="M458" s="12" t="s">
        <v>70</v>
      </c>
      <c r="N458" s="12"/>
    </row>
    <row r="459" customFormat="false" ht="15" hidden="false" customHeight="false" outlineLevel="0" collapsed="false">
      <c r="A459" s="13" t="s">
        <v>524</v>
      </c>
      <c r="B459" s="12" t="s">
        <v>24</v>
      </c>
      <c r="C459" s="12" t="s">
        <v>20</v>
      </c>
      <c r="D459" s="13" t="s">
        <v>410</v>
      </c>
      <c r="E459" s="14" t="n">
        <v>43983</v>
      </c>
      <c r="F459" s="15" t="n">
        <f aca="false">ROUND((IF(K459="",DATE(2026,9,30),K459)-E459)/365.25,1)</f>
        <v>6.3</v>
      </c>
      <c r="G459" s="12"/>
      <c r="H459" s="16" t="n">
        <v>45808</v>
      </c>
      <c r="I459" s="12" t="s">
        <v>241</v>
      </c>
      <c r="J459" s="12" t="s">
        <v>47</v>
      </c>
      <c r="K459" s="12"/>
      <c r="L459" s="12"/>
      <c r="M459" s="12" t="s">
        <v>70</v>
      </c>
      <c r="N459" s="12"/>
    </row>
    <row r="460" customFormat="false" ht="15" hidden="false" customHeight="false" outlineLevel="0" collapsed="false">
      <c r="A460" s="13" t="s">
        <v>525</v>
      </c>
      <c r="B460" s="12" t="s">
        <v>24</v>
      </c>
      <c r="C460" s="12" t="s">
        <v>20</v>
      </c>
      <c r="D460" s="13" t="s">
        <v>408</v>
      </c>
      <c r="E460" s="14" t="n">
        <v>44011</v>
      </c>
      <c r="F460" s="15" t="n">
        <f aca="false">ROUND((IF(K460="",DATE(2026,9,30),K460)-E460)/365.25,1)</f>
        <v>6.3</v>
      </c>
      <c r="G460" s="12"/>
      <c r="H460" s="16" t="n">
        <v>45808</v>
      </c>
      <c r="I460" s="12" t="s">
        <v>241</v>
      </c>
      <c r="J460" s="12" t="s">
        <v>47</v>
      </c>
      <c r="K460" s="12"/>
      <c r="L460" s="12"/>
      <c r="M460" s="12" t="s">
        <v>70</v>
      </c>
      <c r="N460" s="12"/>
    </row>
    <row r="461" customFormat="false" ht="15" hidden="false" customHeight="false" outlineLevel="0" collapsed="false">
      <c r="A461" s="13" t="s">
        <v>526</v>
      </c>
      <c r="B461" s="12" t="s">
        <v>24</v>
      </c>
      <c r="C461" s="12" t="s">
        <v>20</v>
      </c>
      <c r="D461" s="13" t="s">
        <v>408</v>
      </c>
      <c r="E461" s="14" t="n">
        <v>44515</v>
      </c>
      <c r="F461" s="15" t="n">
        <f aca="false">ROUND((IF(K461="",DATE(2026,9,30),K461)-E461)/365.25,1)</f>
        <v>4.9</v>
      </c>
      <c r="G461" s="12"/>
      <c r="H461" s="16" t="n">
        <v>45808</v>
      </c>
      <c r="I461" s="12" t="s">
        <v>241</v>
      </c>
      <c r="J461" s="12" t="s">
        <v>47</v>
      </c>
      <c r="K461" s="12"/>
      <c r="L461" s="12"/>
      <c r="M461" s="12" t="s">
        <v>70</v>
      </c>
      <c r="N461" s="12"/>
    </row>
    <row r="462" customFormat="false" ht="15" hidden="false" customHeight="false" outlineLevel="0" collapsed="false">
      <c r="A462" s="13" t="s">
        <v>527</v>
      </c>
      <c r="B462" s="12" t="s">
        <v>24</v>
      </c>
      <c r="C462" s="12" t="s">
        <v>20</v>
      </c>
      <c r="D462" s="13" t="s">
        <v>410</v>
      </c>
      <c r="E462" s="14" t="n">
        <v>44182</v>
      </c>
      <c r="F462" s="15" t="n">
        <f aca="false">ROUND((IF(K462="",DATE(2026,9,30),K462)-E462)/365.25,1)</f>
        <v>5.8</v>
      </c>
      <c r="G462" s="12"/>
      <c r="H462" s="16" t="n">
        <v>45808</v>
      </c>
      <c r="I462" s="12" t="s">
        <v>241</v>
      </c>
      <c r="J462" s="12" t="s">
        <v>47</v>
      </c>
      <c r="K462" s="12"/>
      <c r="L462" s="12"/>
      <c r="M462" s="12" t="s">
        <v>70</v>
      </c>
      <c r="N462" s="12"/>
    </row>
    <row r="463" customFormat="false" ht="15" hidden="false" customHeight="false" outlineLevel="0" collapsed="false">
      <c r="A463" s="13" t="s">
        <v>528</v>
      </c>
      <c r="B463" s="12" t="s">
        <v>24</v>
      </c>
      <c r="C463" s="12" t="s">
        <v>20</v>
      </c>
      <c r="D463" s="13" t="s">
        <v>408</v>
      </c>
      <c r="E463" s="14" t="n">
        <v>44684</v>
      </c>
      <c r="F463" s="15" t="n">
        <f aca="false">ROUND((IF(K463="",DATE(2026,9,30),K463)-E463)/365.25,1)</f>
        <v>4.1</v>
      </c>
      <c r="G463" s="12"/>
      <c r="H463" s="16" t="n">
        <v>45808</v>
      </c>
      <c r="I463" s="12" t="s">
        <v>241</v>
      </c>
      <c r="J463" s="12" t="s">
        <v>42</v>
      </c>
      <c r="K463" s="17" t="n">
        <v>46183</v>
      </c>
      <c r="L463" s="12"/>
      <c r="M463" s="12" t="s">
        <v>70</v>
      </c>
      <c r="N463" s="12"/>
    </row>
    <row r="464" customFormat="false" ht="15" hidden="false" customHeight="false" outlineLevel="0" collapsed="false">
      <c r="A464" s="13" t="s">
        <v>529</v>
      </c>
      <c r="B464" s="12" t="s">
        <v>24</v>
      </c>
      <c r="C464" s="12" t="s">
        <v>20</v>
      </c>
      <c r="D464" s="13" t="s">
        <v>419</v>
      </c>
      <c r="E464" s="14" t="n">
        <v>44098</v>
      </c>
      <c r="F464" s="15" t="n">
        <f aca="false">ROUND((IF(K464="",DATE(2026,9,30),K464)-E464)/365.25,1)</f>
        <v>5.2</v>
      </c>
      <c r="G464" s="12"/>
      <c r="H464" s="16" t="n">
        <v>45808</v>
      </c>
      <c r="I464" s="12" t="s">
        <v>241</v>
      </c>
      <c r="J464" s="12" t="s">
        <v>55</v>
      </c>
      <c r="K464" s="17" t="n">
        <v>46009</v>
      </c>
      <c r="L464" s="12"/>
      <c r="M464" s="12" t="s">
        <v>70</v>
      </c>
      <c r="N464" s="12"/>
    </row>
    <row r="465" customFormat="false" ht="15" hidden="false" customHeight="false" outlineLevel="0" collapsed="false">
      <c r="A465" s="13" t="s">
        <v>530</v>
      </c>
      <c r="B465" s="12" t="s">
        <v>24</v>
      </c>
      <c r="C465" s="12" t="s">
        <v>20</v>
      </c>
      <c r="D465" s="13" t="s">
        <v>408</v>
      </c>
      <c r="E465" s="14" t="n">
        <v>45104</v>
      </c>
      <c r="F465" s="15" t="n">
        <f aca="false">ROUND((IF(K465="",DATE(2026,9,30),K465)-E465)/365.25,1)</f>
        <v>2</v>
      </c>
      <c r="G465" s="12"/>
      <c r="H465" s="16" t="n">
        <v>45808</v>
      </c>
      <c r="I465" s="12" t="s">
        <v>241</v>
      </c>
      <c r="J465" s="12" t="s">
        <v>42</v>
      </c>
      <c r="K465" s="17" t="n">
        <v>45849</v>
      </c>
      <c r="L465" s="12"/>
      <c r="M465" s="12" t="s">
        <v>70</v>
      </c>
      <c r="N465" s="12"/>
    </row>
    <row r="466" customFormat="false" ht="15" hidden="false" customHeight="false" outlineLevel="0" collapsed="false">
      <c r="A466" s="13" t="s">
        <v>531</v>
      </c>
      <c r="B466" s="12" t="s">
        <v>24</v>
      </c>
      <c r="C466" s="12" t="s">
        <v>20</v>
      </c>
      <c r="D466" s="13" t="s">
        <v>419</v>
      </c>
      <c r="E466" s="14" t="n">
        <v>44136</v>
      </c>
      <c r="F466" s="15" t="n">
        <f aca="false">ROUND((IF(K466="",DATE(2026,9,30),K466)-E466)/365.25,1)</f>
        <v>5.9</v>
      </c>
      <c r="G466" s="12"/>
      <c r="H466" s="16" t="n">
        <v>45808</v>
      </c>
      <c r="I466" s="12" t="s">
        <v>241</v>
      </c>
      <c r="J466" s="12" t="s">
        <v>47</v>
      </c>
      <c r="K466" s="12"/>
      <c r="L466" s="12"/>
      <c r="M466" s="12" t="s">
        <v>70</v>
      </c>
      <c r="N466" s="12"/>
    </row>
    <row r="467" customFormat="false" ht="15" hidden="false" customHeight="false" outlineLevel="0" collapsed="false">
      <c r="A467" s="13" t="s">
        <v>532</v>
      </c>
      <c r="B467" s="12" t="s">
        <v>24</v>
      </c>
      <c r="C467" s="12" t="s">
        <v>20</v>
      </c>
      <c r="D467" s="13" t="s">
        <v>419</v>
      </c>
      <c r="E467" s="14" t="n">
        <v>44094</v>
      </c>
      <c r="F467" s="15" t="n">
        <f aca="false">ROUND((IF(K467="",DATE(2026,9,30),K467)-E467)/365.25,1)</f>
        <v>6</v>
      </c>
      <c r="G467" s="12"/>
      <c r="H467" s="16" t="n">
        <v>45808</v>
      </c>
      <c r="I467" s="12" t="s">
        <v>241</v>
      </c>
      <c r="J467" s="12" t="s">
        <v>47</v>
      </c>
      <c r="K467" s="12"/>
      <c r="L467" s="12"/>
      <c r="M467" s="12" t="s">
        <v>70</v>
      </c>
      <c r="N467" s="12"/>
    </row>
    <row r="468" customFormat="false" ht="15" hidden="false" customHeight="false" outlineLevel="0" collapsed="false">
      <c r="A468" s="13" t="s">
        <v>533</v>
      </c>
      <c r="B468" s="12" t="s">
        <v>24</v>
      </c>
      <c r="C468" s="12" t="s">
        <v>20</v>
      </c>
      <c r="D468" s="13" t="s">
        <v>408</v>
      </c>
      <c r="E468" s="14" t="n">
        <v>43974</v>
      </c>
      <c r="F468" s="15" t="n">
        <f aca="false">ROUND((IF(K468="",DATE(2026,9,30),K468)-E468)/365.25,1)</f>
        <v>5.3</v>
      </c>
      <c r="G468" s="12"/>
      <c r="H468" s="16" t="n">
        <v>45808</v>
      </c>
      <c r="I468" s="12" t="s">
        <v>241</v>
      </c>
      <c r="J468" s="12" t="s">
        <v>42</v>
      </c>
      <c r="K468" s="17" t="n">
        <v>45901</v>
      </c>
      <c r="L468" s="12"/>
      <c r="M468" s="12" t="s">
        <v>70</v>
      </c>
      <c r="N468" s="12"/>
    </row>
    <row r="469" customFormat="false" ht="15" hidden="false" customHeight="false" outlineLevel="0" collapsed="false">
      <c r="A469" s="13" t="s">
        <v>534</v>
      </c>
      <c r="B469" s="12" t="s">
        <v>24</v>
      </c>
      <c r="C469" s="12" t="s">
        <v>20</v>
      </c>
      <c r="D469" s="13" t="s">
        <v>408</v>
      </c>
      <c r="E469" s="14" t="n">
        <v>44367</v>
      </c>
      <c r="F469" s="15" t="n">
        <f aca="false">ROUND((IF(K469="",DATE(2026,9,30),K469)-E469)/365.25,1)</f>
        <v>5.3</v>
      </c>
      <c r="G469" s="12"/>
      <c r="H469" s="16" t="n">
        <v>45808</v>
      </c>
      <c r="I469" s="12" t="s">
        <v>241</v>
      </c>
      <c r="J469" s="12" t="s">
        <v>47</v>
      </c>
      <c r="K469" s="12"/>
      <c r="L469" s="12"/>
      <c r="M469" s="12" t="s">
        <v>70</v>
      </c>
      <c r="N469" s="12"/>
    </row>
    <row r="470" customFormat="false" ht="15" hidden="false" customHeight="false" outlineLevel="0" collapsed="false">
      <c r="A470" s="13" t="s">
        <v>535</v>
      </c>
      <c r="B470" s="12" t="s">
        <v>24</v>
      </c>
      <c r="C470" s="12" t="s">
        <v>20</v>
      </c>
      <c r="D470" s="13" t="s">
        <v>410</v>
      </c>
      <c r="E470" s="14" t="n">
        <v>43854</v>
      </c>
      <c r="F470" s="15" t="n">
        <f aca="false">ROUND((IF(K470="",DATE(2026,9,30),K470)-E470)/365.25,1)</f>
        <v>6.7</v>
      </c>
      <c r="G470" s="12"/>
      <c r="H470" s="16" t="n">
        <v>45808</v>
      </c>
      <c r="I470" s="12" t="s">
        <v>241</v>
      </c>
      <c r="J470" s="12" t="s">
        <v>47</v>
      </c>
      <c r="K470" s="12"/>
      <c r="L470" s="12"/>
      <c r="M470" s="12" t="s">
        <v>70</v>
      </c>
      <c r="N470" s="12"/>
    </row>
    <row r="471" customFormat="false" ht="15" hidden="false" customHeight="false" outlineLevel="0" collapsed="false">
      <c r="A471" s="13" t="s">
        <v>536</v>
      </c>
      <c r="B471" s="12" t="s">
        <v>24</v>
      </c>
      <c r="C471" s="12" t="s">
        <v>20</v>
      </c>
      <c r="D471" s="13" t="s">
        <v>419</v>
      </c>
      <c r="E471" s="14" t="n">
        <v>43987</v>
      </c>
      <c r="F471" s="15" t="n">
        <f aca="false">ROUND((IF(K471="",DATE(2026,9,30),K471)-E471)/365.25,1)</f>
        <v>6.3</v>
      </c>
      <c r="G471" s="12"/>
      <c r="H471" s="16" t="n">
        <v>45808</v>
      </c>
      <c r="I471" s="12" t="s">
        <v>241</v>
      </c>
      <c r="J471" s="12" t="s">
        <v>47</v>
      </c>
      <c r="K471" s="12"/>
      <c r="L471" s="12"/>
      <c r="M471" s="12" t="s">
        <v>70</v>
      </c>
      <c r="N471" s="12"/>
    </row>
    <row r="472" customFormat="false" ht="15" hidden="false" customHeight="false" outlineLevel="0" collapsed="false">
      <c r="A472" s="13" t="s">
        <v>537</v>
      </c>
      <c r="B472" s="12" t="s">
        <v>24</v>
      </c>
      <c r="C472" s="12" t="s">
        <v>20</v>
      </c>
      <c r="D472" s="13" t="s">
        <v>408</v>
      </c>
      <c r="E472" s="14" t="n">
        <v>45127</v>
      </c>
      <c r="F472" s="15" t="n">
        <f aca="false">ROUND((IF(K472="",DATE(2026,9,30),K472)-E472)/365.25,1)</f>
        <v>3.2</v>
      </c>
      <c r="G472" s="12"/>
      <c r="H472" s="16" t="n">
        <v>45808</v>
      </c>
      <c r="I472" s="12" t="s">
        <v>241</v>
      </c>
      <c r="J472" s="12" t="s">
        <v>47</v>
      </c>
      <c r="K472" s="12"/>
      <c r="L472" s="12"/>
      <c r="M472" s="12" t="s">
        <v>70</v>
      </c>
      <c r="N472" s="12"/>
    </row>
    <row r="473" customFormat="false" ht="15" hidden="false" customHeight="false" outlineLevel="0" collapsed="false">
      <c r="A473" s="13" t="s">
        <v>538</v>
      </c>
      <c r="B473" s="12" t="s">
        <v>24</v>
      </c>
      <c r="C473" s="12" t="s">
        <v>20</v>
      </c>
      <c r="D473" s="13" t="s">
        <v>419</v>
      </c>
      <c r="E473" s="14" t="n">
        <v>44156</v>
      </c>
      <c r="F473" s="15" t="n">
        <f aca="false">ROUND((IF(K473="",DATE(2026,9,30),K473)-E473)/365.25,1)</f>
        <v>5.5</v>
      </c>
      <c r="G473" s="12"/>
      <c r="H473" s="16" t="n">
        <v>45808</v>
      </c>
      <c r="I473" s="12" t="s">
        <v>241</v>
      </c>
      <c r="J473" s="12" t="s">
        <v>55</v>
      </c>
      <c r="K473" s="17" t="n">
        <v>46157</v>
      </c>
      <c r="L473" s="12"/>
      <c r="M473" s="12" t="s">
        <v>70</v>
      </c>
      <c r="N473" s="12"/>
    </row>
    <row r="474" customFormat="false" ht="15" hidden="false" customHeight="false" outlineLevel="0" collapsed="false">
      <c r="A474" s="13" t="s">
        <v>539</v>
      </c>
      <c r="B474" s="12" t="s">
        <v>24</v>
      </c>
      <c r="C474" s="12" t="s">
        <v>20</v>
      </c>
      <c r="D474" s="13" t="s">
        <v>419</v>
      </c>
      <c r="E474" s="14" t="n">
        <v>44569</v>
      </c>
      <c r="F474" s="15" t="n">
        <f aca="false">ROUND((IF(K474="",DATE(2026,9,30),K474)-E474)/365.25,1)</f>
        <v>4.7</v>
      </c>
      <c r="G474" s="12"/>
      <c r="H474" s="16" t="n">
        <v>45808</v>
      </c>
      <c r="I474" s="12" t="s">
        <v>241</v>
      </c>
      <c r="J474" s="12" t="s">
        <v>47</v>
      </c>
      <c r="K474" s="12"/>
      <c r="L474" s="12"/>
      <c r="M474" s="12" t="s">
        <v>70</v>
      </c>
      <c r="N474" s="12"/>
    </row>
    <row r="475" customFormat="false" ht="15" hidden="false" customHeight="false" outlineLevel="0" collapsed="false">
      <c r="A475" s="13" t="s">
        <v>540</v>
      </c>
      <c r="B475" s="12" t="s">
        <v>24</v>
      </c>
      <c r="C475" s="12" t="s">
        <v>20</v>
      </c>
      <c r="D475" s="13" t="s">
        <v>419</v>
      </c>
      <c r="E475" s="14" t="n">
        <v>44156</v>
      </c>
      <c r="F475" s="15" t="n">
        <f aca="false">ROUND((IF(K475="",DATE(2026,9,30),K475)-E475)/365.25,1)</f>
        <v>5.5</v>
      </c>
      <c r="G475" s="12"/>
      <c r="H475" s="16" t="n">
        <v>45808</v>
      </c>
      <c r="I475" s="12" t="s">
        <v>241</v>
      </c>
      <c r="J475" s="12" t="s">
        <v>55</v>
      </c>
      <c r="K475" s="17" t="n">
        <v>46157</v>
      </c>
      <c r="L475" s="12"/>
      <c r="M475" s="12" t="s">
        <v>70</v>
      </c>
      <c r="N475" s="12"/>
    </row>
    <row r="476" customFormat="false" ht="15" hidden="false" customHeight="false" outlineLevel="0" collapsed="false">
      <c r="A476" s="13" t="s">
        <v>541</v>
      </c>
      <c r="B476" s="12" t="s">
        <v>24</v>
      </c>
      <c r="C476" s="12" t="s">
        <v>20</v>
      </c>
      <c r="D476" s="13" t="s">
        <v>410</v>
      </c>
      <c r="E476" s="14" t="n">
        <v>44179</v>
      </c>
      <c r="F476" s="15" t="n">
        <f aca="false">ROUND((IF(K476="",DATE(2026,9,30),K476)-E476)/365.25,1)</f>
        <v>5.8</v>
      </c>
      <c r="G476" s="12"/>
      <c r="H476" s="16" t="n">
        <v>45808</v>
      </c>
      <c r="I476" s="12" t="s">
        <v>241</v>
      </c>
      <c r="J476" s="12" t="s">
        <v>47</v>
      </c>
      <c r="K476" s="12"/>
      <c r="L476" s="12"/>
      <c r="M476" s="12" t="s">
        <v>70</v>
      </c>
      <c r="N476" s="12"/>
    </row>
    <row r="477" customFormat="false" ht="15" hidden="false" customHeight="false" outlineLevel="0" collapsed="false">
      <c r="A477" s="13" t="s">
        <v>542</v>
      </c>
      <c r="B477" s="12" t="s">
        <v>24</v>
      </c>
      <c r="C477" s="12" t="s">
        <v>20</v>
      </c>
      <c r="D477" s="13" t="s">
        <v>410</v>
      </c>
      <c r="E477" s="14" t="n">
        <v>44247</v>
      </c>
      <c r="F477" s="15" t="n">
        <f aca="false">ROUND((IF(K477="",DATE(2026,9,30),K477)-E477)/365.25,1)</f>
        <v>5.6</v>
      </c>
      <c r="G477" s="12"/>
      <c r="H477" s="16" t="n">
        <v>45808</v>
      </c>
      <c r="I477" s="12" t="s">
        <v>241</v>
      </c>
      <c r="J477" s="12" t="s">
        <v>47</v>
      </c>
      <c r="K477" s="12"/>
      <c r="L477" s="12"/>
      <c r="M477" s="12" t="s">
        <v>70</v>
      </c>
      <c r="N477" s="12"/>
    </row>
    <row r="478" customFormat="false" ht="15" hidden="false" customHeight="false" outlineLevel="0" collapsed="false">
      <c r="A478" s="13" t="s">
        <v>543</v>
      </c>
      <c r="B478" s="12" t="s">
        <v>24</v>
      </c>
      <c r="C478" s="12" t="s">
        <v>20</v>
      </c>
      <c r="D478" s="13" t="s">
        <v>419</v>
      </c>
      <c r="E478" s="14" t="n">
        <v>43772</v>
      </c>
      <c r="F478" s="15" t="n">
        <f aca="false">ROUND((IF(K478="",DATE(2026,9,30),K478)-E478)/365.25,1)</f>
        <v>6.2</v>
      </c>
      <c r="G478" s="12"/>
      <c r="H478" s="16" t="n">
        <v>45808</v>
      </c>
      <c r="I478" s="12" t="s">
        <v>241</v>
      </c>
      <c r="J478" s="12" t="s">
        <v>55</v>
      </c>
      <c r="K478" s="17" t="n">
        <v>46046</v>
      </c>
      <c r="L478" s="12"/>
      <c r="M478" s="12" t="s">
        <v>70</v>
      </c>
      <c r="N478" s="12"/>
    </row>
    <row r="479" customFormat="false" ht="15" hidden="false" customHeight="false" outlineLevel="0" collapsed="false">
      <c r="A479" s="13" t="s">
        <v>544</v>
      </c>
      <c r="B479" s="12" t="s">
        <v>24</v>
      </c>
      <c r="C479" s="12" t="s">
        <v>20</v>
      </c>
      <c r="D479" s="13" t="s">
        <v>408</v>
      </c>
      <c r="E479" s="14" t="n">
        <v>44844</v>
      </c>
      <c r="F479" s="15" t="n">
        <f aca="false">ROUND((IF(K479="",DATE(2026,9,30),K479)-E479)/365.25,1)</f>
        <v>4</v>
      </c>
      <c r="G479" s="12"/>
      <c r="H479" s="16" t="n">
        <v>45808</v>
      </c>
      <c r="I479" s="12" t="s">
        <v>241</v>
      </c>
      <c r="J479" s="12" t="s">
        <v>47</v>
      </c>
      <c r="K479" s="12"/>
      <c r="L479" s="12"/>
      <c r="M479" s="12" t="s">
        <v>70</v>
      </c>
      <c r="N479" s="12"/>
    </row>
    <row r="480" customFormat="false" ht="15" hidden="false" customHeight="false" outlineLevel="0" collapsed="false">
      <c r="A480" s="13" t="s">
        <v>545</v>
      </c>
      <c r="B480" s="12" t="s">
        <v>24</v>
      </c>
      <c r="C480" s="12" t="s">
        <v>20</v>
      </c>
      <c r="D480" s="13" t="s">
        <v>408</v>
      </c>
      <c r="E480" s="14" t="n">
        <v>44732</v>
      </c>
      <c r="F480" s="15" t="n">
        <f aca="false">ROUND((IF(K480="",DATE(2026,9,30),K480)-E480)/365.25,1)</f>
        <v>3.5</v>
      </c>
      <c r="G480" s="12"/>
      <c r="H480" s="16" t="n">
        <v>45808</v>
      </c>
      <c r="I480" s="12" t="s">
        <v>241</v>
      </c>
      <c r="J480" s="12" t="s">
        <v>42</v>
      </c>
      <c r="K480" s="17" t="n">
        <v>45994</v>
      </c>
      <c r="L480" s="12"/>
      <c r="M480" s="12" t="s">
        <v>70</v>
      </c>
      <c r="N480" s="12"/>
    </row>
    <row r="481" customFormat="false" ht="15" hidden="false" customHeight="false" outlineLevel="0" collapsed="false">
      <c r="A481" s="13" t="s">
        <v>546</v>
      </c>
      <c r="B481" s="12" t="s">
        <v>24</v>
      </c>
      <c r="C481" s="12" t="s">
        <v>20</v>
      </c>
      <c r="D481" s="13" t="s">
        <v>408</v>
      </c>
      <c r="E481" s="14" t="n">
        <v>45209</v>
      </c>
      <c r="F481" s="15" t="n">
        <f aca="false">ROUND((IF(K481="",DATE(2026,9,30),K481)-E481)/365.25,1)</f>
        <v>3</v>
      </c>
      <c r="G481" s="12"/>
      <c r="H481" s="16" t="n">
        <v>45808</v>
      </c>
      <c r="I481" s="12" t="s">
        <v>241</v>
      </c>
      <c r="J481" s="12" t="s">
        <v>47</v>
      </c>
      <c r="K481" s="12"/>
      <c r="L481" s="12"/>
      <c r="M481" s="12" t="s">
        <v>70</v>
      </c>
      <c r="N481" s="12"/>
    </row>
    <row r="482" customFormat="false" ht="15" hidden="false" customHeight="false" outlineLevel="0" collapsed="false">
      <c r="A482" s="13" t="s">
        <v>547</v>
      </c>
      <c r="B482" s="12" t="s">
        <v>24</v>
      </c>
      <c r="C482" s="12" t="s">
        <v>20</v>
      </c>
      <c r="D482" s="13" t="s">
        <v>419</v>
      </c>
      <c r="E482" s="14" t="n">
        <v>44061</v>
      </c>
      <c r="F482" s="15" t="n">
        <f aca="false">ROUND((IF(K482="",DATE(2026,9,30),K482)-E482)/365.25,1)</f>
        <v>6.1</v>
      </c>
      <c r="G482" s="12"/>
      <c r="H482" s="16" t="n">
        <v>45808</v>
      </c>
      <c r="I482" s="12" t="s">
        <v>241</v>
      </c>
      <c r="J482" s="12" t="s">
        <v>47</v>
      </c>
      <c r="K482" s="12"/>
      <c r="L482" s="12"/>
      <c r="M482" s="12" t="s">
        <v>70</v>
      </c>
      <c r="N482" s="12"/>
    </row>
    <row r="483" customFormat="false" ht="15" hidden="false" customHeight="false" outlineLevel="0" collapsed="false">
      <c r="A483" s="13" t="s">
        <v>548</v>
      </c>
      <c r="B483" s="12" t="s">
        <v>24</v>
      </c>
      <c r="C483" s="12" t="s">
        <v>20</v>
      </c>
      <c r="D483" s="13" t="s">
        <v>419</v>
      </c>
      <c r="E483" s="14" t="n">
        <v>43793</v>
      </c>
      <c r="F483" s="15" t="n">
        <f aca="false">ROUND((IF(K483="",DATE(2026,9,30),K483)-E483)/365.25,1)</f>
        <v>6.5</v>
      </c>
      <c r="G483" s="12"/>
      <c r="H483" s="16" t="n">
        <v>45808</v>
      </c>
      <c r="I483" s="12" t="s">
        <v>241</v>
      </c>
      <c r="J483" s="12" t="s">
        <v>55</v>
      </c>
      <c r="K483" s="17" t="n">
        <v>46171</v>
      </c>
      <c r="L483" s="12"/>
      <c r="M483" s="12" t="s">
        <v>70</v>
      </c>
      <c r="N483" s="12"/>
    </row>
    <row r="484" customFormat="false" ht="15" hidden="false" customHeight="false" outlineLevel="0" collapsed="false">
      <c r="A484" s="13" t="s">
        <v>549</v>
      </c>
      <c r="B484" s="12" t="s">
        <v>24</v>
      </c>
      <c r="C484" s="12" t="s">
        <v>20</v>
      </c>
      <c r="D484" s="13" t="s">
        <v>419</v>
      </c>
      <c r="E484" s="14" t="n">
        <v>44118</v>
      </c>
      <c r="F484" s="15" t="n">
        <f aca="false">ROUND((IF(K484="",DATE(2026,9,30),K484)-E484)/365.25,1)</f>
        <v>6</v>
      </c>
      <c r="G484" s="12"/>
      <c r="H484" s="16" t="n">
        <v>45808</v>
      </c>
      <c r="I484" s="12" t="s">
        <v>241</v>
      </c>
      <c r="J484" s="12" t="s">
        <v>47</v>
      </c>
      <c r="K484" s="12"/>
      <c r="L484" s="12"/>
      <c r="M484" s="12" t="s">
        <v>70</v>
      </c>
      <c r="N484" s="12"/>
    </row>
    <row r="485" customFormat="false" ht="15" hidden="false" customHeight="false" outlineLevel="0" collapsed="false">
      <c r="A485" s="13" t="s">
        <v>550</v>
      </c>
      <c r="B485" s="12" t="s">
        <v>24</v>
      </c>
      <c r="C485" s="12" t="s">
        <v>20</v>
      </c>
      <c r="D485" s="13" t="s">
        <v>419</v>
      </c>
      <c r="E485" s="14" t="n">
        <v>44546</v>
      </c>
      <c r="F485" s="15" t="n">
        <f aca="false">ROUND((IF(K485="",DATE(2026,9,30),K485)-E485)/365.25,1)</f>
        <v>4.8</v>
      </c>
      <c r="G485" s="12"/>
      <c r="H485" s="16" t="n">
        <v>45808</v>
      </c>
      <c r="I485" s="12" t="s">
        <v>241</v>
      </c>
      <c r="J485" s="12" t="s">
        <v>47</v>
      </c>
      <c r="K485" s="12"/>
      <c r="L485" s="12"/>
      <c r="M485" s="12" t="s">
        <v>70</v>
      </c>
      <c r="N485" s="12"/>
    </row>
    <row r="486" customFormat="false" ht="15" hidden="false" customHeight="false" outlineLevel="0" collapsed="false">
      <c r="A486" s="13" t="s">
        <v>551</v>
      </c>
      <c r="B486" s="12" t="s">
        <v>24</v>
      </c>
      <c r="C486" s="12" t="s">
        <v>20</v>
      </c>
      <c r="D486" s="13" t="s">
        <v>408</v>
      </c>
      <c r="E486" s="14" t="n">
        <v>45205</v>
      </c>
      <c r="F486" s="15" t="n">
        <f aca="false">ROUND((IF(K486="",DATE(2026,9,30),K486)-E486)/365.25,1)</f>
        <v>3</v>
      </c>
      <c r="G486" s="12"/>
      <c r="H486" s="16" t="n">
        <v>45808</v>
      </c>
      <c r="I486" s="12" t="s">
        <v>241</v>
      </c>
      <c r="J486" s="12" t="s">
        <v>47</v>
      </c>
      <c r="K486" s="12"/>
      <c r="L486" s="12"/>
      <c r="M486" s="12" t="s">
        <v>70</v>
      </c>
      <c r="N486" s="12"/>
    </row>
    <row r="487" customFormat="false" ht="15" hidden="false" customHeight="false" outlineLevel="0" collapsed="false">
      <c r="A487" s="13" t="s">
        <v>552</v>
      </c>
      <c r="B487" s="12" t="s">
        <v>24</v>
      </c>
      <c r="C487" s="12" t="s">
        <v>20</v>
      </c>
      <c r="D487" s="13" t="s">
        <v>408</v>
      </c>
      <c r="E487" s="14" t="n">
        <v>45698</v>
      </c>
      <c r="F487" s="15" t="n">
        <f aca="false">ROUND((IF(K487="",DATE(2026,9,30),K487)-E487)/365.25,1)</f>
        <v>1.6</v>
      </c>
      <c r="G487" s="12"/>
      <c r="H487" s="16" t="n">
        <v>45808</v>
      </c>
      <c r="I487" s="12" t="s">
        <v>241</v>
      </c>
      <c r="J487" s="12" t="s">
        <v>47</v>
      </c>
      <c r="K487" s="12"/>
      <c r="L487" s="12"/>
      <c r="M487" s="12" t="s">
        <v>70</v>
      </c>
      <c r="N487" s="12"/>
    </row>
    <row r="488" customFormat="false" ht="15" hidden="false" customHeight="false" outlineLevel="0" collapsed="false">
      <c r="A488" s="13" t="s">
        <v>553</v>
      </c>
      <c r="B488" s="12" t="s">
        <v>24</v>
      </c>
      <c r="C488" s="12" t="s">
        <v>19</v>
      </c>
      <c r="D488" s="13" t="s">
        <v>408</v>
      </c>
      <c r="E488" s="16" t="n">
        <v>45820</v>
      </c>
      <c r="F488" s="15" t="n">
        <f aca="false">ROUND((IF(K488="",DATE(2026,9,30),K488)-E488)/365.25,1)</f>
        <v>0.3</v>
      </c>
      <c r="G488" s="12"/>
      <c r="H488" s="16" t="n">
        <v>45820</v>
      </c>
      <c r="I488" s="12" t="s">
        <v>49</v>
      </c>
      <c r="J488" s="12" t="s">
        <v>42</v>
      </c>
      <c r="K488" s="17" t="n">
        <v>45922</v>
      </c>
      <c r="L488" s="13" t="s">
        <v>477</v>
      </c>
      <c r="M488" s="12" t="s">
        <v>70</v>
      </c>
      <c r="N488" s="12"/>
    </row>
    <row r="489" customFormat="false" ht="15" hidden="false" customHeight="false" outlineLevel="0" collapsed="false">
      <c r="A489" s="13" t="s">
        <v>554</v>
      </c>
      <c r="B489" s="12" t="s">
        <v>24</v>
      </c>
      <c r="C489" s="12" t="s">
        <v>20</v>
      </c>
      <c r="D489" s="13" t="s">
        <v>410</v>
      </c>
      <c r="E489" s="16" t="n">
        <v>45833</v>
      </c>
      <c r="F489" s="15" t="n">
        <f aca="false">ROUND((IF(K489="",DATE(2026,9,30),K489)-E489)/365.25,1)</f>
        <v>1.3</v>
      </c>
      <c r="G489" s="12"/>
      <c r="H489" s="16" t="n">
        <v>45833</v>
      </c>
      <c r="I489" s="12" t="s">
        <v>49</v>
      </c>
      <c r="J489" s="12" t="s">
        <v>47</v>
      </c>
      <c r="K489" s="12"/>
      <c r="L489" s="13" t="s">
        <v>411</v>
      </c>
      <c r="M489" s="12" t="s">
        <v>70</v>
      </c>
      <c r="N489" s="12"/>
    </row>
    <row r="490" customFormat="false" ht="15" hidden="false" customHeight="false" outlineLevel="0" collapsed="false">
      <c r="A490" s="13" t="s">
        <v>555</v>
      </c>
      <c r="B490" s="12" t="s">
        <v>24</v>
      </c>
      <c r="C490" s="12" t="s">
        <v>19</v>
      </c>
      <c r="D490" s="13" t="s">
        <v>408</v>
      </c>
      <c r="E490" s="16" t="n">
        <v>45835</v>
      </c>
      <c r="F490" s="15" t="n">
        <f aca="false">ROUND((IF(K490="",DATE(2026,9,30),K490)-E490)/365.25,1)</f>
        <v>0.2</v>
      </c>
      <c r="G490" s="12"/>
      <c r="H490" s="16" t="n">
        <v>45835</v>
      </c>
      <c r="I490" s="12" t="s">
        <v>49</v>
      </c>
      <c r="J490" s="12" t="s">
        <v>42</v>
      </c>
      <c r="K490" s="17" t="n">
        <v>45921</v>
      </c>
      <c r="L490" s="13" t="s">
        <v>528</v>
      </c>
      <c r="M490" s="12" t="s">
        <v>70</v>
      </c>
      <c r="N490" s="12"/>
    </row>
    <row r="491" customFormat="false" ht="15" hidden="false" customHeight="false" outlineLevel="0" collapsed="false">
      <c r="A491" s="13" t="s">
        <v>556</v>
      </c>
      <c r="B491" s="12" t="s">
        <v>24</v>
      </c>
      <c r="C491" s="12" t="s">
        <v>19</v>
      </c>
      <c r="D491" s="13" t="s">
        <v>419</v>
      </c>
      <c r="E491" s="16" t="n">
        <v>45839</v>
      </c>
      <c r="F491" s="15" t="n">
        <f aca="false">ROUND((IF(K491="",DATE(2026,9,30),K491)-E491)/365.25,1)</f>
        <v>1.2</v>
      </c>
      <c r="G491" s="12"/>
      <c r="H491" s="16" t="n">
        <v>45839</v>
      </c>
      <c r="I491" s="12" t="s">
        <v>49</v>
      </c>
      <c r="J491" s="12" t="s">
        <v>47</v>
      </c>
      <c r="K491" s="12"/>
      <c r="L491" s="13" t="s">
        <v>488</v>
      </c>
      <c r="M491" s="12" t="s">
        <v>70</v>
      </c>
      <c r="N491" s="12"/>
    </row>
    <row r="492" customFormat="false" ht="15" hidden="false" customHeight="false" outlineLevel="0" collapsed="false">
      <c r="A492" s="13" t="s">
        <v>557</v>
      </c>
      <c r="B492" s="12" t="s">
        <v>24</v>
      </c>
      <c r="C492" s="12" t="s">
        <v>20</v>
      </c>
      <c r="D492" s="13" t="s">
        <v>419</v>
      </c>
      <c r="E492" s="16" t="n">
        <v>45839</v>
      </c>
      <c r="F492" s="15" t="n">
        <f aca="false">ROUND((IF(K492="",DATE(2026,9,30),K492)-E492)/365.25,1)</f>
        <v>1.2</v>
      </c>
      <c r="G492" s="12"/>
      <c r="H492" s="16" t="n">
        <v>45839</v>
      </c>
      <c r="I492" s="12" t="s">
        <v>49</v>
      </c>
      <c r="J492" s="12" t="s">
        <v>47</v>
      </c>
      <c r="K492" s="12"/>
      <c r="L492" s="13" t="s">
        <v>488</v>
      </c>
      <c r="M492" s="12" t="s">
        <v>70</v>
      </c>
      <c r="N492" s="12"/>
    </row>
    <row r="493" customFormat="false" ht="15" hidden="false" customHeight="false" outlineLevel="0" collapsed="false">
      <c r="A493" s="13" t="s">
        <v>558</v>
      </c>
      <c r="B493" s="12" t="s">
        <v>24</v>
      </c>
      <c r="C493" s="12" t="s">
        <v>19</v>
      </c>
      <c r="D493" s="13" t="s">
        <v>408</v>
      </c>
      <c r="E493" s="16" t="n">
        <v>45840</v>
      </c>
      <c r="F493" s="15" t="n">
        <f aca="false">ROUND((IF(K493="",DATE(2026,9,30),K493)-E493)/365.25,1)</f>
        <v>1.2</v>
      </c>
      <c r="G493" s="12"/>
      <c r="H493" s="16" t="n">
        <v>45840</v>
      </c>
      <c r="I493" s="12" t="s">
        <v>49</v>
      </c>
      <c r="J493" s="12" t="s">
        <v>47</v>
      </c>
      <c r="K493" s="12"/>
      <c r="L493" s="13" t="s">
        <v>465</v>
      </c>
      <c r="M493" s="12" t="s">
        <v>70</v>
      </c>
      <c r="N493" s="12"/>
    </row>
    <row r="494" customFormat="false" ht="15" hidden="false" customHeight="false" outlineLevel="0" collapsed="false">
      <c r="A494" s="13" t="s">
        <v>559</v>
      </c>
      <c r="B494" s="12" t="s">
        <v>24</v>
      </c>
      <c r="C494" s="12" t="s">
        <v>20</v>
      </c>
      <c r="D494" s="13" t="s">
        <v>408</v>
      </c>
      <c r="E494" s="16" t="n">
        <v>45843</v>
      </c>
      <c r="F494" s="15" t="n">
        <f aca="false">ROUND((IF(K494="",DATE(2026,9,30),K494)-E494)/365.25,1)</f>
        <v>1.2</v>
      </c>
      <c r="G494" s="12"/>
      <c r="H494" s="16" t="n">
        <v>45843</v>
      </c>
      <c r="I494" s="12" t="s">
        <v>49</v>
      </c>
      <c r="J494" s="12" t="s">
        <v>47</v>
      </c>
      <c r="K494" s="12"/>
      <c r="L494" s="13" t="s">
        <v>518</v>
      </c>
      <c r="M494" s="12" t="s">
        <v>70</v>
      </c>
      <c r="N494" s="12"/>
    </row>
    <row r="495" customFormat="false" ht="15" hidden="false" customHeight="false" outlineLevel="0" collapsed="false">
      <c r="A495" s="13" t="s">
        <v>560</v>
      </c>
      <c r="B495" s="12" t="s">
        <v>24</v>
      </c>
      <c r="C495" s="12" t="s">
        <v>19</v>
      </c>
      <c r="D495" s="13" t="s">
        <v>408</v>
      </c>
      <c r="E495" s="16" t="n">
        <v>45844</v>
      </c>
      <c r="F495" s="15" t="n">
        <f aca="false">ROUND((IF(K495="",DATE(2026,9,30),K495)-E495)/365.25,1)</f>
        <v>1.2</v>
      </c>
      <c r="G495" s="12"/>
      <c r="H495" s="16" t="n">
        <v>45844</v>
      </c>
      <c r="I495" s="12" t="s">
        <v>49</v>
      </c>
      <c r="J495" s="12" t="s">
        <v>47</v>
      </c>
      <c r="K495" s="12"/>
      <c r="L495" s="13" t="s">
        <v>412</v>
      </c>
      <c r="M495" s="12" t="s">
        <v>70</v>
      </c>
      <c r="N495" s="12"/>
    </row>
    <row r="496" customFormat="false" ht="15" hidden="false" customHeight="false" outlineLevel="0" collapsed="false">
      <c r="A496" s="13" t="s">
        <v>561</v>
      </c>
      <c r="B496" s="12" t="s">
        <v>24</v>
      </c>
      <c r="C496" s="12" t="s">
        <v>19</v>
      </c>
      <c r="D496" s="13" t="s">
        <v>408</v>
      </c>
      <c r="E496" s="16" t="n">
        <v>45844</v>
      </c>
      <c r="F496" s="15" t="n">
        <f aca="false">ROUND((IF(K496="",DATE(2026,9,30),K496)-E496)/365.25,1)</f>
        <v>1.2</v>
      </c>
      <c r="G496" s="12"/>
      <c r="H496" s="16" t="n">
        <v>45844</v>
      </c>
      <c r="I496" s="12" t="s">
        <v>49</v>
      </c>
      <c r="J496" s="12" t="s">
        <v>47</v>
      </c>
      <c r="K496" s="12"/>
      <c r="L496" s="13" t="s">
        <v>412</v>
      </c>
      <c r="M496" s="12" t="s">
        <v>70</v>
      </c>
      <c r="N496" s="12"/>
    </row>
    <row r="497" customFormat="false" ht="15" hidden="false" customHeight="false" outlineLevel="0" collapsed="false">
      <c r="A497" s="13" t="s">
        <v>562</v>
      </c>
      <c r="B497" s="12" t="s">
        <v>24</v>
      </c>
      <c r="C497" s="12" t="s">
        <v>19</v>
      </c>
      <c r="D497" s="13" t="s">
        <v>410</v>
      </c>
      <c r="E497" s="16" t="n">
        <v>45846</v>
      </c>
      <c r="F497" s="15" t="n">
        <f aca="false">ROUND((IF(K497="",DATE(2026,9,30),K497)-E497)/365.25,1)</f>
        <v>0</v>
      </c>
      <c r="G497" s="12"/>
      <c r="H497" s="16" t="n">
        <v>45846</v>
      </c>
      <c r="I497" s="12" t="s">
        <v>49</v>
      </c>
      <c r="J497" s="12" t="s">
        <v>42</v>
      </c>
      <c r="K497" s="17" t="n">
        <v>45853</v>
      </c>
      <c r="L497" s="13" t="s">
        <v>495</v>
      </c>
      <c r="M497" s="12" t="s">
        <v>70</v>
      </c>
      <c r="N497" s="12"/>
    </row>
    <row r="498" customFormat="false" ht="15" hidden="false" customHeight="false" outlineLevel="0" collapsed="false">
      <c r="A498" s="13" t="s">
        <v>563</v>
      </c>
      <c r="B498" s="12" t="s">
        <v>24</v>
      </c>
      <c r="C498" s="12" t="s">
        <v>20</v>
      </c>
      <c r="D498" s="13" t="s">
        <v>410</v>
      </c>
      <c r="E498" s="16" t="n">
        <v>45846</v>
      </c>
      <c r="F498" s="15" t="n">
        <f aca="false">ROUND((IF(K498="",DATE(2026,9,30),K498)-E498)/365.25,1)</f>
        <v>1.2</v>
      </c>
      <c r="G498" s="12"/>
      <c r="H498" s="16" t="n">
        <v>45846</v>
      </c>
      <c r="I498" s="12" t="s">
        <v>49</v>
      </c>
      <c r="J498" s="12" t="s">
        <v>47</v>
      </c>
      <c r="K498" s="12"/>
      <c r="L498" s="13" t="s">
        <v>495</v>
      </c>
      <c r="M498" s="12" t="s">
        <v>70</v>
      </c>
      <c r="N498" s="12" t="s">
        <v>267</v>
      </c>
    </row>
    <row r="499" customFormat="false" ht="15" hidden="false" customHeight="false" outlineLevel="0" collapsed="false">
      <c r="A499" s="13" t="s">
        <v>564</v>
      </c>
      <c r="B499" s="12" t="s">
        <v>24</v>
      </c>
      <c r="C499" s="12" t="s">
        <v>20</v>
      </c>
      <c r="D499" s="13" t="s">
        <v>408</v>
      </c>
      <c r="E499" s="16" t="n">
        <v>45847</v>
      </c>
      <c r="F499" s="15" t="n">
        <f aca="false">ROUND((IF(K499="",DATE(2026,9,30),K499)-E499)/365.25,1)</f>
        <v>1.2</v>
      </c>
      <c r="G499" s="12"/>
      <c r="H499" s="16" t="n">
        <v>45847</v>
      </c>
      <c r="I499" s="12" t="s">
        <v>49</v>
      </c>
      <c r="J499" s="12" t="s">
        <v>47</v>
      </c>
      <c r="K499" s="12"/>
      <c r="L499" s="13" t="s">
        <v>466</v>
      </c>
      <c r="M499" s="12" t="s">
        <v>70</v>
      </c>
      <c r="N499" s="12"/>
    </row>
    <row r="500" customFormat="false" ht="15" hidden="false" customHeight="false" outlineLevel="0" collapsed="false">
      <c r="A500" s="13" t="s">
        <v>565</v>
      </c>
      <c r="B500" s="12" t="s">
        <v>24</v>
      </c>
      <c r="C500" s="12" t="s">
        <v>20</v>
      </c>
      <c r="D500" s="13" t="s">
        <v>410</v>
      </c>
      <c r="E500" s="16" t="n">
        <v>45857</v>
      </c>
      <c r="F500" s="15" t="n">
        <f aca="false">ROUND((IF(K500="",DATE(2026,9,30),K500)-E500)/365.25,1)</f>
        <v>1.2</v>
      </c>
      <c r="G500" s="12"/>
      <c r="H500" s="16" t="n">
        <v>45857</v>
      </c>
      <c r="I500" s="12" t="s">
        <v>49</v>
      </c>
      <c r="J500" s="12" t="s">
        <v>47</v>
      </c>
      <c r="K500" s="12"/>
      <c r="L500" s="13" t="s">
        <v>470</v>
      </c>
      <c r="M500" s="12" t="s">
        <v>70</v>
      </c>
      <c r="N500" s="12"/>
    </row>
    <row r="501" customFormat="false" ht="15" hidden="false" customHeight="false" outlineLevel="0" collapsed="false">
      <c r="A501" s="13" t="s">
        <v>566</v>
      </c>
      <c r="B501" s="12" t="s">
        <v>24</v>
      </c>
      <c r="C501" s="12" t="s">
        <v>19</v>
      </c>
      <c r="D501" s="13" t="s">
        <v>419</v>
      </c>
      <c r="E501" s="16" t="n">
        <v>45859</v>
      </c>
      <c r="F501" s="15" t="n">
        <f aca="false">ROUND((IF(K501="",DATE(2026,9,30),K501)-E501)/365.25,1)</f>
        <v>1.2</v>
      </c>
      <c r="G501" s="12"/>
      <c r="H501" s="16" t="n">
        <v>45859</v>
      </c>
      <c r="I501" s="12" t="s">
        <v>49</v>
      </c>
      <c r="J501" s="12" t="s">
        <v>47</v>
      </c>
      <c r="K501" s="12"/>
      <c r="L501" s="13" t="s">
        <v>548</v>
      </c>
      <c r="M501" s="12" t="s">
        <v>70</v>
      </c>
      <c r="N501" s="12"/>
    </row>
    <row r="502" customFormat="false" ht="15" hidden="false" customHeight="false" outlineLevel="0" collapsed="false">
      <c r="A502" s="13" t="s">
        <v>567</v>
      </c>
      <c r="B502" s="12" t="s">
        <v>24</v>
      </c>
      <c r="C502" s="12" t="s">
        <v>19</v>
      </c>
      <c r="D502" s="13" t="s">
        <v>408</v>
      </c>
      <c r="E502" s="16" t="n">
        <v>45861</v>
      </c>
      <c r="F502" s="15" t="n">
        <f aca="false">ROUND((IF(K502="",DATE(2026,9,30),K502)-E502)/365.25,1)</f>
        <v>1.2</v>
      </c>
      <c r="G502" s="12"/>
      <c r="H502" s="16" t="n">
        <v>45861</v>
      </c>
      <c r="I502" s="12" t="s">
        <v>49</v>
      </c>
      <c r="J502" s="12" t="s">
        <v>47</v>
      </c>
      <c r="K502" s="12"/>
      <c r="L502" s="13" t="s">
        <v>522</v>
      </c>
      <c r="M502" s="12" t="s">
        <v>70</v>
      </c>
      <c r="N502" s="12"/>
    </row>
    <row r="503" customFormat="false" ht="15" hidden="false" customHeight="false" outlineLevel="0" collapsed="false">
      <c r="A503" s="13" t="s">
        <v>568</v>
      </c>
      <c r="B503" s="12" t="s">
        <v>24</v>
      </c>
      <c r="C503" s="12" t="s">
        <v>19</v>
      </c>
      <c r="D503" s="13" t="s">
        <v>408</v>
      </c>
      <c r="E503" s="16" t="n">
        <v>45865</v>
      </c>
      <c r="F503" s="15" t="n">
        <f aca="false">ROUND((IF(K503="",DATE(2026,9,30),K503)-E503)/365.25,1)</f>
        <v>0.2</v>
      </c>
      <c r="G503" s="12"/>
      <c r="H503" s="16" t="n">
        <v>45865</v>
      </c>
      <c r="I503" s="12" t="s">
        <v>49</v>
      </c>
      <c r="J503" s="12" t="s">
        <v>42</v>
      </c>
      <c r="K503" s="17" t="n">
        <v>45955</v>
      </c>
      <c r="L503" s="13" t="s">
        <v>526</v>
      </c>
      <c r="M503" s="12" t="s">
        <v>70</v>
      </c>
      <c r="N503" s="12"/>
    </row>
    <row r="504" customFormat="false" ht="15" hidden="false" customHeight="false" outlineLevel="0" collapsed="false">
      <c r="A504" s="13" t="s">
        <v>569</v>
      </c>
      <c r="B504" s="12" t="s">
        <v>24</v>
      </c>
      <c r="C504" s="12" t="s">
        <v>19</v>
      </c>
      <c r="D504" s="13" t="s">
        <v>410</v>
      </c>
      <c r="E504" s="16" t="n">
        <v>45884</v>
      </c>
      <c r="F504" s="15" t="n">
        <f aca="false">ROUND((IF(K504="",DATE(2026,9,30),K504)-E504)/365.25,1)</f>
        <v>1.1</v>
      </c>
      <c r="G504" s="12"/>
      <c r="H504" s="16" t="n">
        <v>45884</v>
      </c>
      <c r="I504" s="12" t="s">
        <v>49</v>
      </c>
      <c r="J504" s="12" t="s">
        <v>47</v>
      </c>
      <c r="K504" s="12"/>
      <c r="L504" s="13" t="s">
        <v>504</v>
      </c>
      <c r="M504" s="12" t="s">
        <v>70</v>
      </c>
      <c r="N504" s="12"/>
    </row>
    <row r="505" customFormat="false" ht="15" hidden="false" customHeight="false" outlineLevel="0" collapsed="false">
      <c r="A505" s="13" t="s">
        <v>570</v>
      </c>
      <c r="B505" s="12" t="s">
        <v>24</v>
      </c>
      <c r="C505" s="12" t="s">
        <v>19</v>
      </c>
      <c r="D505" s="13" t="s">
        <v>410</v>
      </c>
      <c r="E505" s="16" t="n">
        <v>45894</v>
      </c>
      <c r="F505" s="15" t="n">
        <f aca="false">ROUND((IF(K505="",DATE(2026,9,30),K505)-E505)/365.25,1)</f>
        <v>1.1</v>
      </c>
      <c r="G505" s="12"/>
      <c r="H505" s="16" t="n">
        <v>45894</v>
      </c>
      <c r="I505" s="12" t="s">
        <v>49</v>
      </c>
      <c r="J505" s="12" t="s">
        <v>47</v>
      </c>
      <c r="K505" s="12"/>
      <c r="L505" s="13" t="s">
        <v>492</v>
      </c>
      <c r="M505" s="12" t="s">
        <v>70</v>
      </c>
      <c r="N505" s="12"/>
    </row>
    <row r="506" customFormat="false" ht="15" hidden="false" customHeight="false" outlineLevel="0" collapsed="false">
      <c r="A506" s="13" t="s">
        <v>571</v>
      </c>
      <c r="B506" s="12" t="s">
        <v>24</v>
      </c>
      <c r="C506" s="12" t="s">
        <v>19</v>
      </c>
      <c r="D506" s="13" t="s">
        <v>408</v>
      </c>
      <c r="E506" s="16" t="n">
        <v>45895</v>
      </c>
      <c r="F506" s="15" t="n">
        <f aca="false">ROUND((IF(K506="",DATE(2026,9,30),K506)-E506)/365.25,1)</f>
        <v>0.1</v>
      </c>
      <c r="G506" s="12"/>
      <c r="H506" s="16" t="n">
        <v>45895</v>
      </c>
      <c r="I506" s="12" t="s">
        <v>49</v>
      </c>
      <c r="J506" s="12" t="s">
        <v>42</v>
      </c>
      <c r="K506" s="17" t="n">
        <v>45943</v>
      </c>
      <c r="L506" s="13" t="s">
        <v>483</v>
      </c>
      <c r="M506" s="12" t="s">
        <v>70</v>
      </c>
      <c r="N506" s="12"/>
    </row>
    <row r="507" customFormat="false" ht="15" hidden="false" customHeight="false" outlineLevel="0" collapsed="false">
      <c r="A507" s="13" t="s">
        <v>572</v>
      </c>
      <c r="B507" s="12" t="s">
        <v>24</v>
      </c>
      <c r="C507" s="12" t="s">
        <v>19</v>
      </c>
      <c r="D507" s="13" t="s">
        <v>408</v>
      </c>
      <c r="E507" s="16" t="n">
        <v>45901</v>
      </c>
      <c r="F507" s="15" t="n">
        <f aca="false">ROUND((IF(K507="",DATE(2026,9,30),K507)-E507)/365.25,1)</f>
        <v>0.1</v>
      </c>
      <c r="G507" s="12"/>
      <c r="H507" s="16" t="n">
        <v>45901</v>
      </c>
      <c r="I507" s="12" t="s">
        <v>49</v>
      </c>
      <c r="J507" s="12" t="s">
        <v>42</v>
      </c>
      <c r="K507" s="17" t="n">
        <v>45938</v>
      </c>
      <c r="L507" s="13" t="s">
        <v>489</v>
      </c>
      <c r="M507" s="12" t="s">
        <v>70</v>
      </c>
      <c r="N507" s="12"/>
    </row>
    <row r="508" customFormat="false" ht="15" hidden="false" customHeight="false" outlineLevel="0" collapsed="false">
      <c r="A508" s="13" t="s">
        <v>573</v>
      </c>
      <c r="B508" s="12" t="s">
        <v>24</v>
      </c>
      <c r="C508" s="12" t="s">
        <v>19</v>
      </c>
      <c r="D508" s="13" t="s">
        <v>408</v>
      </c>
      <c r="E508" s="16" t="n">
        <v>45901</v>
      </c>
      <c r="F508" s="15" t="n">
        <f aca="false">ROUND((IF(K508="",DATE(2026,9,30),K508)-E508)/365.25,1)</f>
        <v>0</v>
      </c>
      <c r="G508" s="12"/>
      <c r="H508" s="16" t="n">
        <v>45901</v>
      </c>
      <c r="I508" s="12" t="s">
        <v>49</v>
      </c>
      <c r="J508" s="12" t="s">
        <v>42</v>
      </c>
      <c r="K508" s="17" t="n">
        <v>45912</v>
      </c>
      <c r="L508" s="13" t="s">
        <v>489</v>
      </c>
      <c r="M508" s="12" t="s">
        <v>70</v>
      </c>
      <c r="N508" s="12"/>
    </row>
    <row r="509" customFormat="false" ht="15" hidden="false" customHeight="false" outlineLevel="0" collapsed="false">
      <c r="A509" s="13" t="s">
        <v>574</v>
      </c>
      <c r="B509" s="12" t="s">
        <v>24</v>
      </c>
      <c r="C509" s="12" t="s">
        <v>20</v>
      </c>
      <c r="D509" s="13" t="s">
        <v>419</v>
      </c>
      <c r="E509" s="16" t="n">
        <v>45901</v>
      </c>
      <c r="F509" s="15" t="n">
        <f aca="false">ROUND((IF(K509="",DATE(2026,9,30),K509)-E509)/365.25,1)</f>
        <v>0</v>
      </c>
      <c r="G509" s="12"/>
      <c r="H509" s="16" t="n">
        <v>45901</v>
      </c>
      <c r="I509" s="12" t="s">
        <v>49</v>
      </c>
      <c r="J509" s="12" t="s">
        <v>42</v>
      </c>
      <c r="K509" s="17" t="n">
        <v>45912</v>
      </c>
      <c r="L509" s="13" t="s">
        <v>517</v>
      </c>
      <c r="M509" s="12" t="s">
        <v>70</v>
      </c>
      <c r="N509" s="12"/>
    </row>
    <row r="510" customFormat="false" ht="15" hidden="false" customHeight="false" outlineLevel="0" collapsed="false">
      <c r="A510" s="13" t="s">
        <v>575</v>
      </c>
      <c r="B510" s="12" t="s">
        <v>24</v>
      </c>
      <c r="C510" s="12" t="s">
        <v>20</v>
      </c>
      <c r="D510" s="13" t="s">
        <v>419</v>
      </c>
      <c r="E510" s="16" t="n">
        <v>45901</v>
      </c>
      <c r="F510" s="15" t="n">
        <f aca="false">ROUND((IF(K510="",DATE(2026,9,30),K510)-E510)/365.25,1)</f>
        <v>0</v>
      </c>
      <c r="G510" s="12"/>
      <c r="H510" s="16" t="n">
        <v>45901</v>
      </c>
      <c r="I510" s="12" t="s">
        <v>49</v>
      </c>
      <c r="J510" s="12" t="s">
        <v>42</v>
      </c>
      <c r="K510" s="17" t="n">
        <v>45912</v>
      </c>
      <c r="L510" s="13" t="s">
        <v>517</v>
      </c>
      <c r="M510" s="12" t="s">
        <v>70</v>
      </c>
      <c r="N510" s="12"/>
    </row>
    <row r="511" customFormat="false" ht="15" hidden="false" customHeight="false" outlineLevel="0" collapsed="false">
      <c r="A511" s="13" t="s">
        <v>576</v>
      </c>
      <c r="B511" s="12" t="s">
        <v>24</v>
      </c>
      <c r="C511" s="12" t="s">
        <v>20</v>
      </c>
      <c r="D511" s="13" t="s">
        <v>410</v>
      </c>
      <c r="E511" s="16" t="n">
        <v>45901</v>
      </c>
      <c r="F511" s="15" t="n">
        <f aca="false">ROUND((IF(K511="",DATE(2026,9,30),K511)-E511)/365.25,1)</f>
        <v>0.1</v>
      </c>
      <c r="G511" s="12"/>
      <c r="H511" s="16" t="n">
        <v>45901</v>
      </c>
      <c r="I511" s="12" t="s">
        <v>49</v>
      </c>
      <c r="J511" s="12" t="s">
        <v>42</v>
      </c>
      <c r="K511" s="17" t="n">
        <v>45922</v>
      </c>
      <c r="L511" s="13" t="s">
        <v>459</v>
      </c>
      <c r="M511" s="12" t="s">
        <v>70</v>
      </c>
      <c r="N511" s="12"/>
    </row>
    <row r="512" customFormat="false" ht="15" hidden="false" customHeight="false" outlineLevel="0" collapsed="false">
      <c r="A512" s="13" t="s">
        <v>577</v>
      </c>
      <c r="B512" s="12" t="s">
        <v>24</v>
      </c>
      <c r="C512" s="12" t="s">
        <v>19</v>
      </c>
      <c r="D512" s="13" t="s">
        <v>419</v>
      </c>
      <c r="E512" s="16" t="n">
        <v>45941</v>
      </c>
      <c r="F512" s="15" t="n">
        <f aca="false">ROUND((IF(K512="",DATE(2026,9,30),K512)-E512)/365.25,1)</f>
        <v>1</v>
      </c>
      <c r="G512" s="12"/>
      <c r="H512" s="16" t="n">
        <v>45941</v>
      </c>
      <c r="I512" s="12" t="s">
        <v>49</v>
      </c>
      <c r="J512" s="12" t="s">
        <v>47</v>
      </c>
      <c r="K512" s="12"/>
      <c r="L512" s="13" t="s">
        <v>484</v>
      </c>
      <c r="M512" s="12" t="s">
        <v>70</v>
      </c>
      <c r="N512" s="12"/>
    </row>
    <row r="513" customFormat="false" ht="15" hidden="false" customHeight="false" outlineLevel="0" collapsed="false">
      <c r="A513" s="13" t="s">
        <v>578</v>
      </c>
      <c r="B513" s="12" t="s">
        <v>24</v>
      </c>
      <c r="C513" s="12" t="s">
        <v>20</v>
      </c>
      <c r="D513" s="13" t="s">
        <v>408</v>
      </c>
      <c r="E513" s="16" t="n">
        <v>46031</v>
      </c>
      <c r="F513" s="15" t="n">
        <f aca="false">ROUND((IF(K513="",DATE(2026,9,30),K513)-E513)/365.25,1)</f>
        <v>0.7</v>
      </c>
      <c r="G513" s="12"/>
      <c r="H513" s="16" t="n">
        <v>46031</v>
      </c>
      <c r="I513" s="12" t="s">
        <v>49</v>
      </c>
      <c r="J513" s="12" t="s">
        <v>47</v>
      </c>
      <c r="K513" s="12"/>
      <c r="L513" s="13" t="s">
        <v>518</v>
      </c>
      <c r="M513" s="12" t="s">
        <v>70</v>
      </c>
      <c r="N513" s="12"/>
    </row>
    <row r="514" customFormat="false" ht="15" hidden="false" customHeight="false" outlineLevel="0" collapsed="false">
      <c r="A514" s="13" t="s">
        <v>579</v>
      </c>
      <c r="B514" s="12" t="s">
        <v>24</v>
      </c>
      <c r="C514" s="12" t="s">
        <v>20</v>
      </c>
      <c r="D514" s="13" t="s">
        <v>410</v>
      </c>
      <c r="E514" s="14" t="n">
        <v>45319</v>
      </c>
      <c r="F514" s="15" t="n">
        <f aca="false">ROUND((IF(K514="",DATE(2026,9,30),K514)-E514)/365.25,1)</f>
        <v>2.7</v>
      </c>
      <c r="G514" s="12"/>
      <c r="H514" s="14" t="n">
        <v>46064</v>
      </c>
      <c r="I514" s="12" t="s">
        <v>201</v>
      </c>
      <c r="J514" s="12" t="s">
        <v>47</v>
      </c>
      <c r="K514" s="12"/>
      <c r="L514" s="12"/>
      <c r="M514" s="12" t="s">
        <v>70</v>
      </c>
      <c r="N514" s="12"/>
    </row>
    <row r="515" customFormat="false" ht="15" hidden="false" customHeight="false" outlineLevel="0" collapsed="false">
      <c r="A515" s="13" t="s">
        <v>580</v>
      </c>
      <c r="B515" s="12" t="s">
        <v>24</v>
      </c>
      <c r="C515" s="12" t="s">
        <v>19</v>
      </c>
      <c r="D515" s="13" t="s">
        <v>408</v>
      </c>
      <c r="E515" s="16" t="n">
        <v>46080</v>
      </c>
      <c r="F515" s="15" t="n">
        <f aca="false">ROUND((IF(K515="",DATE(2026,9,30),K515)-E515)/365.25,1)</f>
        <v>0.6</v>
      </c>
      <c r="G515" s="12"/>
      <c r="H515" s="16" t="n">
        <v>46080</v>
      </c>
      <c r="I515" s="12" t="s">
        <v>49</v>
      </c>
      <c r="J515" s="12" t="s">
        <v>47</v>
      </c>
      <c r="K515" s="12"/>
      <c r="L515" s="13" t="s">
        <v>522</v>
      </c>
      <c r="M515" s="12" t="s">
        <v>70</v>
      </c>
      <c r="N515" s="12"/>
    </row>
    <row r="516" customFormat="false" ht="15" hidden="false" customHeight="false" outlineLevel="0" collapsed="false">
      <c r="A516" s="13" t="s">
        <v>581</v>
      </c>
      <c r="B516" s="12" t="s">
        <v>24</v>
      </c>
      <c r="C516" s="12" t="s">
        <v>19</v>
      </c>
      <c r="D516" s="13" t="s">
        <v>410</v>
      </c>
      <c r="E516" s="16" t="n">
        <v>46086</v>
      </c>
      <c r="F516" s="15" t="n">
        <f aca="false">ROUND((IF(K516="",DATE(2026,9,30),K516)-E516)/365.25,1)</f>
        <v>0.6</v>
      </c>
      <c r="G516" s="12"/>
      <c r="H516" s="16" t="n">
        <v>46086</v>
      </c>
      <c r="I516" s="12" t="s">
        <v>49</v>
      </c>
      <c r="J516" s="12" t="s">
        <v>47</v>
      </c>
      <c r="K516" s="12"/>
      <c r="L516" s="13" t="s">
        <v>579</v>
      </c>
      <c r="M516" s="12" t="s">
        <v>70</v>
      </c>
      <c r="N516" s="12"/>
    </row>
    <row r="517" customFormat="false" ht="15" hidden="false" customHeight="false" outlineLevel="0" collapsed="false">
      <c r="A517" s="13" t="s">
        <v>582</v>
      </c>
      <c r="B517" s="12" t="s">
        <v>24</v>
      </c>
      <c r="C517" s="12" t="s">
        <v>20</v>
      </c>
      <c r="D517" s="13" t="s">
        <v>410</v>
      </c>
      <c r="E517" s="16" t="n">
        <v>46086</v>
      </c>
      <c r="F517" s="15" t="n">
        <f aca="false">ROUND((IF(K517="",DATE(2026,9,30),K517)-E517)/365.25,1)</f>
        <v>0.6</v>
      </c>
      <c r="G517" s="12"/>
      <c r="H517" s="16" t="n">
        <v>46086</v>
      </c>
      <c r="I517" s="12" t="s">
        <v>49</v>
      </c>
      <c r="J517" s="12" t="s">
        <v>47</v>
      </c>
      <c r="K517" s="12"/>
      <c r="L517" s="13" t="s">
        <v>579</v>
      </c>
      <c r="M517" s="12" t="s">
        <v>70</v>
      </c>
      <c r="N517" s="12"/>
    </row>
    <row r="518" customFormat="false" ht="15" hidden="false" customHeight="false" outlineLevel="0" collapsed="false">
      <c r="A518" s="13" t="s">
        <v>583</v>
      </c>
      <c r="B518" s="12" t="s">
        <v>24</v>
      </c>
      <c r="C518" s="12" t="s">
        <v>19</v>
      </c>
      <c r="D518" s="13" t="s">
        <v>408</v>
      </c>
      <c r="E518" s="16" t="n">
        <v>46090</v>
      </c>
      <c r="F518" s="15" t="n">
        <f aca="false">ROUND((IF(K518="",DATE(2026,9,30),K518)-E518)/365.25,1)</f>
        <v>0.6</v>
      </c>
      <c r="G518" s="12"/>
      <c r="H518" s="16" t="n">
        <v>46090</v>
      </c>
      <c r="I518" s="12" t="s">
        <v>49</v>
      </c>
      <c r="J518" s="12" t="s">
        <v>47</v>
      </c>
      <c r="K518" s="12"/>
      <c r="L518" s="13" t="s">
        <v>415</v>
      </c>
      <c r="M518" s="12" t="s">
        <v>70</v>
      </c>
      <c r="N518" s="12"/>
    </row>
    <row r="519" customFormat="false" ht="15" hidden="false" customHeight="false" outlineLevel="0" collapsed="false">
      <c r="A519" s="13" t="s">
        <v>584</v>
      </c>
      <c r="B519" s="12" t="s">
        <v>24</v>
      </c>
      <c r="C519" s="12" t="s">
        <v>19</v>
      </c>
      <c r="D519" s="13" t="s">
        <v>419</v>
      </c>
      <c r="E519" s="16" t="n">
        <v>46095</v>
      </c>
      <c r="F519" s="15" t="n">
        <f aca="false">ROUND((IF(K519="",DATE(2026,9,30),K519)-E519)/365.25,1)</f>
        <v>0.5</v>
      </c>
      <c r="G519" s="12"/>
      <c r="H519" s="16" t="n">
        <v>46095</v>
      </c>
      <c r="I519" s="12" t="s">
        <v>49</v>
      </c>
      <c r="J519" s="12" t="s">
        <v>47</v>
      </c>
      <c r="K519" s="12"/>
      <c r="L519" s="13" t="s">
        <v>550</v>
      </c>
      <c r="M519" s="12" t="s">
        <v>70</v>
      </c>
      <c r="N519" s="12"/>
    </row>
    <row r="520" customFormat="false" ht="15" hidden="false" customHeight="false" outlineLevel="0" collapsed="false">
      <c r="A520" s="13" t="s">
        <v>585</v>
      </c>
      <c r="B520" s="12" t="s">
        <v>24</v>
      </c>
      <c r="C520" s="12" t="s">
        <v>20</v>
      </c>
      <c r="D520" s="13" t="s">
        <v>419</v>
      </c>
      <c r="E520" s="16" t="n">
        <v>46097</v>
      </c>
      <c r="F520" s="15" t="n">
        <f aca="false">ROUND((IF(K520="",DATE(2026,9,30),K520)-E520)/365.25,1)</f>
        <v>0.5</v>
      </c>
      <c r="G520" s="12"/>
      <c r="H520" s="16" t="n">
        <v>46097</v>
      </c>
      <c r="I520" s="12" t="s">
        <v>49</v>
      </c>
      <c r="J520" s="12" t="s">
        <v>47</v>
      </c>
      <c r="K520" s="12"/>
      <c r="L520" s="13" t="s">
        <v>506</v>
      </c>
      <c r="M520" s="12" t="s">
        <v>70</v>
      </c>
      <c r="N520" s="12"/>
    </row>
    <row r="521" customFormat="false" ht="15" hidden="false" customHeight="false" outlineLevel="0" collapsed="false">
      <c r="A521" s="13" t="s">
        <v>586</v>
      </c>
      <c r="B521" s="12" t="s">
        <v>24</v>
      </c>
      <c r="C521" s="12" t="s">
        <v>19</v>
      </c>
      <c r="D521" s="13" t="s">
        <v>419</v>
      </c>
      <c r="E521" s="16" t="n">
        <v>46103</v>
      </c>
      <c r="F521" s="15" t="n">
        <f aca="false">ROUND((IF(K521="",DATE(2026,9,30),K521)-E521)/365.25,1)</f>
        <v>0.5</v>
      </c>
      <c r="G521" s="12"/>
      <c r="H521" s="16" t="n">
        <v>46103</v>
      </c>
      <c r="I521" s="12" t="s">
        <v>49</v>
      </c>
      <c r="J521" s="12" t="s">
        <v>47</v>
      </c>
      <c r="K521" s="12"/>
      <c r="L521" s="13" t="s">
        <v>520</v>
      </c>
      <c r="M521" s="12" t="s">
        <v>70</v>
      </c>
      <c r="N521" s="12"/>
    </row>
    <row r="522" customFormat="false" ht="15" hidden="false" customHeight="false" outlineLevel="0" collapsed="false">
      <c r="A522" s="13" t="s">
        <v>587</v>
      </c>
      <c r="B522" s="12" t="s">
        <v>24</v>
      </c>
      <c r="C522" s="12" t="s">
        <v>20</v>
      </c>
      <c r="D522" s="13" t="s">
        <v>419</v>
      </c>
      <c r="E522" s="16" t="n">
        <v>46114</v>
      </c>
      <c r="F522" s="15" t="n">
        <f aca="false">ROUND((IF(K522="",DATE(2026,9,30),K522)-E522)/365.25,1)</f>
        <v>0.5</v>
      </c>
      <c r="G522" s="12"/>
      <c r="H522" s="16" t="n">
        <v>46114</v>
      </c>
      <c r="I522" s="12" t="s">
        <v>49</v>
      </c>
      <c r="J522" s="12" t="s">
        <v>47</v>
      </c>
      <c r="K522" s="12"/>
      <c r="L522" s="13" t="s">
        <v>547</v>
      </c>
      <c r="M522" s="12" t="s">
        <v>70</v>
      </c>
      <c r="N522" s="12"/>
    </row>
    <row r="523" customFormat="false" ht="15" hidden="false" customHeight="false" outlineLevel="0" collapsed="false">
      <c r="A523" s="13" t="s">
        <v>588</v>
      </c>
      <c r="B523" s="12" t="s">
        <v>24</v>
      </c>
      <c r="C523" s="12" t="s">
        <v>20</v>
      </c>
      <c r="D523" s="13" t="s">
        <v>419</v>
      </c>
      <c r="E523" s="16" t="n">
        <v>46115</v>
      </c>
      <c r="F523" s="15" t="n">
        <f aca="false">ROUND((IF(K523="",DATE(2026,9,30),K523)-E523)/365.25,1)</f>
        <v>0.5</v>
      </c>
      <c r="G523" s="12"/>
      <c r="H523" s="16" t="n">
        <v>46115</v>
      </c>
      <c r="I523" s="12" t="s">
        <v>49</v>
      </c>
      <c r="J523" s="12" t="s">
        <v>47</v>
      </c>
      <c r="K523" s="12"/>
      <c r="L523" s="13" t="s">
        <v>484</v>
      </c>
      <c r="M523" s="12" t="s">
        <v>70</v>
      </c>
      <c r="N523" s="12"/>
    </row>
    <row r="524" customFormat="false" ht="15" hidden="false" customHeight="false" outlineLevel="0" collapsed="false">
      <c r="A524" s="13" t="s">
        <v>589</v>
      </c>
      <c r="B524" s="12" t="s">
        <v>24</v>
      </c>
      <c r="C524" s="12" t="s">
        <v>20</v>
      </c>
      <c r="D524" s="13" t="s">
        <v>410</v>
      </c>
      <c r="E524" s="16" t="n">
        <v>46117</v>
      </c>
      <c r="F524" s="15" t="n">
        <f aca="false">ROUND((IF(K524="",DATE(2026,9,30),K524)-E524)/365.25,1)</f>
        <v>0.5</v>
      </c>
      <c r="G524" s="12"/>
      <c r="H524" s="16" t="n">
        <v>46117</v>
      </c>
      <c r="I524" s="12" t="s">
        <v>49</v>
      </c>
      <c r="J524" s="12" t="s">
        <v>47</v>
      </c>
      <c r="K524" s="12"/>
      <c r="L524" s="13" t="s">
        <v>502</v>
      </c>
      <c r="M524" s="12" t="s">
        <v>70</v>
      </c>
      <c r="N524" s="12"/>
    </row>
    <row r="525" customFormat="false" ht="15" hidden="false" customHeight="false" outlineLevel="0" collapsed="false">
      <c r="A525" s="13" t="s">
        <v>590</v>
      </c>
      <c r="B525" s="12" t="s">
        <v>24</v>
      </c>
      <c r="C525" s="12" t="s">
        <v>19</v>
      </c>
      <c r="D525" s="13" t="s">
        <v>408</v>
      </c>
      <c r="E525" s="16" t="n">
        <v>46119</v>
      </c>
      <c r="F525" s="15" t="n">
        <f aca="false">ROUND((IF(K525="",DATE(2026,9,30),K525)-E525)/365.25,1)</f>
        <v>0.5</v>
      </c>
      <c r="G525" s="12"/>
      <c r="H525" s="16" t="n">
        <v>46119</v>
      </c>
      <c r="I525" s="12" t="s">
        <v>49</v>
      </c>
      <c r="J525" s="12" t="s">
        <v>47</v>
      </c>
      <c r="K525" s="12"/>
      <c r="L525" s="13" t="s">
        <v>512</v>
      </c>
      <c r="M525" s="12" t="s">
        <v>70</v>
      </c>
      <c r="N525" s="12"/>
    </row>
    <row r="526" customFormat="false" ht="15" hidden="false" customHeight="false" outlineLevel="0" collapsed="false">
      <c r="A526" s="13" t="s">
        <v>591</v>
      </c>
      <c r="B526" s="12" t="s">
        <v>24</v>
      </c>
      <c r="C526" s="12" t="s">
        <v>20</v>
      </c>
      <c r="D526" s="13" t="s">
        <v>408</v>
      </c>
      <c r="E526" s="16" t="n">
        <v>46119</v>
      </c>
      <c r="F526" s="15" t="n">
        <f aca="false">ROUND((IF(K526="",DATE(2026,9,30),K526)-E526)/365.25,1)</f>
        <v>0.5</v>
      </c>
      <c r="G526" s="12"/>
      <c r="H526" s="16" t="n">
        <v>46119</v>
      </c>
      <c r="I526" s="12" t="s">
        <v>49</v>
      </c>
      <c r="J526" s="12" t="s">
        <v>47</v>
      </c>
      <c r="K526" s="12"/>
      <c r="L526" s="13" t="s">
        <v>512</v>
      </c>
      <c r="M526" s="12" t="s">
        <v>70</v>
      </c>
      <c r="N526" s="12"/>
    </row>
    <row r="527" customFormat="false" ht="15" hidden="false" customHeight="false" outlineLevel="0" collapsed="false">
      <c r="A527" s="13" t="s">
        <v>592</v>
      </c>
      <c r="B527" s="12" t="s">
        <v>24</v>
      </c>
      <c r="C527" s="12" t="s">
        <v>19</v>
      </c>
      <c r="D527" s="13" t="s">
        <v>408</v>
      </c>
      <c r="E527" s="16" t="n">
        <v>46120</v>
      </c>
      <c r="F527" s="15" t="n">
        <f aca="false">ROUND((IF(K527="",DATE(2026,9,30),K527)-E527)/365.25,1)</f>
        <v>0.5</v>
      </c>
      <c r="G527" s="12"/>
      <c r="H527" s="16" t="n">
        <v>46120</v>
      </c>
      <c r="I527" s="12" t="s">
        <v>49</v>
      </c>
      <c r="J527" s="12" t="s">
        <v>47</v>
      </c>
      <c r="K527" s="12"/>
      <c r="L527" s="13" t="s">
        <v>489</v>
      </c>
      <c r="M527" s="12" t="s">
        <v>70</v>
      </c>
      <c r="N527" s="12"/>
    </row>
    <row r="528" customFormat="false" ht="15" hidden="false" customHeight="false" outlineLevel="0" collapsed="false">
      <c r="A528" s="13" t="s">
        <v>593</v>
      </c>
      <c r="B528" s="12" t="s">
        <v>24</v>
      </c>
      <c r="C528" s="12" t="s">
        <v>20</v>
      </c>
      <c r="D528" s="13" t="s">
        <v>408</v>
      </c>
      <c r="E528" s="16" t="n">
        <v>46120</v>
      </c>
      <c r="F528" s="15" t="n">
        <f aca="false">ROUND((IF(K528="",DATE(2026,9,30),K528)-E528)/365.25,1)</f>
        <v>0.5</v>
      </c>
      <c r="G528" s="12"/>
      <c r="H528" s="16" t="n">
        <v>46120</v>
      </c>
      <c r="I528" s="12" t="s">
        <v>49</v>
      </c>
      <c r="J528" s="12" t="s">
        <v>47</v>
      </c>
      <c r="K528" s="12"/>
      <c r="L528" s="13" t="s">
        <v>489</v>
      </c>
      <c r="M528" s="12" t="s">
        <v>70</v>
      </c>
      <c r="N528" s="12"/>
    </row>
    <row r="529" customFormat="false" ht="15" hidden="false" customHeight="false" outlineLevel="0" collapsed="false">
      <c r="A529" s="13" t="s">
        <v>594</v>
      </c>
      <c r="B529" s="12" t="s">
        <v>24</v>
      </c>
      <c r="C529" s="12" t="s">
        <v>19</v>
      </c>
      <c r="D529" s="13" t="s">
        <v>410</v>
      </c>
      <c r="E529" s="16" t="n">
        <v>46122</v>
      </c>
      <c r="F529" s="15" t="n">
        <f aca="false">ROUND((IF(K529="",DATE(2026,9,30),K529)-E529)/365.25,1)</f>
        <v>0.5</v>
      </c>
      <c r="G529" s="12"/>
      <c r="H529" s="16" t="n">
        <v>46122</v>
      </c>
      <c r="I529" s="12" t="s">
        <v>49</v>
      </c>
      <c r="J529" s="12" t="s">
        <v>47</v>
      </c>
      <c r="K529" s="12"/>
      <c r="L529" s="13" t="s">
        <v>471</v>
      </c>
      <c r="M529" s="12" t="s">
        <v>70</v>
      </c>
      <c r="N529" s="12"/>
    </row>
    <row r="530" customFormat="false" ht="15" hidden="false" customHeight="false" outlineLevel="0" collapsed="false">
      <c r="A530" s="13" t="s">
        <v>595</v>
      </c>
      <c r="B530" s="12" t="s">
        <v>24</v>
      </c>
      <c r="C530" s="12" t="s">
        <v>20</v>
      </c>
      <c r="D530" s="13" t="s">
        <v>408</v>
      </c>
      <c r="E530" s="16" t="n">
        <v>46123</v>
      </c>
      <c r="F530" s="15" t="n">
        <f aca="false">ROUND((IF(K530="",DATE(2026,9,30),K530)-E530)/365.25,1)</f>
        <v>0.5</v>
      </c>
      <c r="G530" s="12"/>
      <c r="H530" s="16" t="n">
        <v>46123</v>
      </c>
      <c r="I530" s="12" t="s">
        <v>49</v>
      </c>
      <c r="J530" s="12" t="s">
        <v>47</v>
      </c>
      <c r="K530" s="12"/>
      <c r="L530" s="13" t="s">
        <v>552</v>
      </c>
      <c r="M530" s="12" t="s">
        <v>70</v>
      </c>
      <c r="N530" s="12"/>
    </row>
    <row r="531" customFormat="false" ht="15" hidden="false" customHeight="false" outlineLevel="0" collapsed="false">
      <c r="A531" s="13" t="s">
        <v>596</v>
      </c>
      <c r="B531" s="12" t="s">
        <v>24</v>
      </c>
      <c r="C531" s="12" t="s">
        <v>19</v>
      </c>
      <c r="D531" s="13" t="s">
        <v>408</v>
      </c>
      <c r="E531" s="16" t="n">
        <v>46124</v>
      </c>
      <c r="F531" s="15" t="n">
        <f aca="false">ROUND((IF(K531="",DATE(2026,9,30),K531)-E531)/365.25,1)</f>
        <v>0.2</v>
      </c>
      <c r="G531" s="12"/>
      <c r="H531" s="16" t="n">
        <v>46124</v>
      </c>
      <c r="I531" s="12" t="s">
        <v>49</v>
      </c>
      <c r="J531" s="12" t="s">
        <v>42</v>
      </c>
      <c r="K531" s="17" t="n">
        <v>46212</v>
      </c>
      <c r="L531" s="13" t="s">
        <v>510</v>
      </c>
      <c r="M531" s="12" t="s">
        <v>70</v>
      </c>
      <c r="N531" s="12"/>
    </row>
    <row r="532" customFormat="false" ht="15" hidden="false" customHeight="false" outlineLevel="0" collapsed="false">
      <c r="A532" s="13" t="s">
        <v>597</v>
      </c>
      <c r="B532" s="12" t="s">
        <v>24</v>
      </c>
      <c r="C532" s="12" t="s">
        <v>20</v>
      </c>
      <c r="D532" s="13" t="s">
        <v>410</v>
      </c>
      <c r="E532" s="16" t="n">
        <v>46125</v>
      </c>
      <c r="F532" s="15" t="n">
        <f aca="false">ROUND((IF(K532="",DATE(2026,9,30),K532)-E532)/365.25,1)</f>
        <v>0.5</v>
      </c>
      <c r="G532" s="12"/>
      <c r="H532" s="16" t="n">
        <v>46125</v>
      </c>
      <c r="I532" s="12" t="s">
        <v>49</v>
      </c>
      <c r="J532" s="12" t="s">
        <v>47</v>
      </c>
      <c r="K532" s="12"/>
      <c r="L532" s="13" t="s">
        <v>527</v>
      </c>
      <c r="M532" s="12" t="s">
        <v>70</v>
      </c>
      <c r="N532" s="12"/>
    </row>
    <row r="533" customFormat="false" ht="15" hidden="false" customHeight="false" outlineLevel="0" collapsed="false">
      <c r="A533" s="13" t="s">
        <v>598</v>
      </c>
      <c r="B533" s="12" t="s">
        <v>24</v>
      </c>
      <c r="C533" s="12" t="s">
        <v>20</v>
      </c>
      <c r="D533" s="13" t="s">
        <v>410</v>
      </c>
      <c r="E533" s="16" t="n">
        <v>46126</v>
      </c>
      <c r="F533" s="15" t="n">
        <f aca="false">ROUND((IF(K533="",DATE(2026,9,30),K533)-E533)/365.25,1)</f>
        <v>0.5</v>
      </c>
      <c r="G533" s="12"/>
      <c r="H533" s="16" t="n">
        <v>46126</v>
      </c>
      <c r="I533" s="12" t="s">
        <v>49</v>
      </c>
      <c r="J533" s="12" t="s">
        <v>47</v>
      </c>
      <c r="K533" s="12"/>
      <c r="L533" s="13" t="s">
        <v>499</v>
      </c>
      <c r="M533" s="12" t="s">
        <v>70</v>
      </c>
      <c r="N533" s="12"/>
    </row>
    <row r="534" customFormat="false" ht="15" hidden="false" customHeight="false" outlineLevel="0" collapsed="false">
      <c r="A534" s="13" t="s">
        <v>599</v>
      </c>
      <c r="B534" s="12" t="s">
        <v>24</v>
      </c>
      <c r="C534" s="12" t="s">
        <v>19</v>
      </c>
      <c r="D534" s="13" t="s">
        <v>408</v>
      </c>
      <c r="E534" s="16" t="n">
        <v>46130</v>
      </c>
      <c r="F534" s="15" t="n">
        <f aca="false">ROUND((IF(K534="",DATE(2026,9,30),K534)-E534)/365.25,1)</f>
        <v>0.5</v>
      </c>
      <c r="G534" s="12"/>
      <c r="H534" s="16" t="n">
        <v>46130</v>
      </c>
      <c r="I534" s="12" t="s">
        <v>49</v>
      </c>
      <c r="J534" s="12" t="s">
        <v>47</v>
      </c>
      <c r="K534" s="12"/>
      <c r="L534" s="13" t="s">
        <v>414</v>
      </c>
      <c r="M534" s="12" t="s">
        <v>70</v>
      </c>
      <c r="N534" s="12"/>
    </row>
    <row r="535" customFormat="false" ht="15" hidden="false" customHeight="false" outlineLevel="0" collapsed="false">
      <c r="A535" s="13" t="s">
        <v>600</v>
      </c>
      <c r="B535" s="12" t="s">
        <v>24</v>
      </c>
      <c r="C535" s="12" t="s">
        <v>19</v>
      </c>
      <c r="D535" s="13" t="s">
        <v>419</v>
      </c>
      <c r="E535" s="16" t="n">
        <v>46130</v>
      </c>
      <c r="F535" s="15" t="n">
        <f aca="false">ROUND((IF(K535="",DATE(2026,9,30),K535)-E535)/365.25,1)</f>
        <v>0.5</v>
      </c>
      <c r="G535" s="12"/>
      <c r="H535" s="16" t="n">
        <v>46130</v>
      </c>
      <c r="I535" s="12" t="s">
        <v>49</v>
      </c>
      <c r="J535" s="12" t="s">
        <v>47</v>
      </c>
      <c r="K535" s="12"/>
      <c r="L535" s="13" t="s">
        <v>457</v>
      </c>
      <c r="M535" s="12" t="s">
        <v>70</v>
      </c>
      <c r="N535" s="12"/>
    </row>
    <row r="536" customFormat="false" ht="15" hidden="false" customHeight="false" outlineLevel="0" collapsed="false">
      <c r="A536" s="13" t="s">
        <v>601</v>
      </c>
      <c r="B536" s="12" t="s">
        <v>24</v>
      </c>
      <c r="C536" s="12" t="s">
        <v>20</v>
      </c>
      <c r="D536" s="13" t="s">
        <v>419</v>
      </c>
      <c r="E536" s="16" t="n">
        <v>46130</v>
      </c>
      <c r="F536" s="15" t="n">
        <f aca="false">ROUND((IF(K536="",DATE(2026,9,30),K536)-E536)/365.25,1)</f>
        <v>0.5</v>
      </c>
      <c r="G536" s="12"/>
      <c r="H536" s="16" t="n">
        <v>46130</v>
      </c>
      <c r="I536" s="12" t="s">
        <v>49</v>
      </c>
      <c r="J536" s="12" t="s">
        <v>47</v>
      </c>
      <c r="K536" s="12"/>
      <c r="L536" s="13" t="s">
        <v>457</v>
      </c>
      <c r="M536" s="12" t="s">
        <v>70</v>
      </c>
      <c r="N536" s="12"/>
    </row>
    <row r="537" customFormat="false" ht="15" hidden="false" customHeight="false" outlineLevel="0" collapsed="false">
      <c r="A537" s="13" t="s">
        <v>602</v>
      </c>
      <c r="B537" s="12" t="s">
        <v>24</v>
      </c>
      <c r="C537" s="12" t="s">
        <v>20</v>
      </c>
      <c r="D537" s="13" t="s">
        <v>410</v>
      </c>
      <c r="E537" s="16" t="n">
        <v>46134</v>
      </c>
      <c r="F537" s="15" t="n">
        <f aca="false">ROUND((IF(K537="",DATE(2026,9,30),K537)-E537)/365.25,1)</f>
        <v>0.4</v>
      </c>
      <c r="G537" s="12"/>
      <c r="H537" s="16" t="n">
        <v>46134</v>
      </c>
      <c r="I537" s="12" t="s">
        <v>49</v>
      </c>
      <c r="J537" s="12" t="s">
        <v>47</v>
      </c>
      <c r="K537" s="12"/>
      <c r="L537" s="13" t="s">
        <v>524</v>
      </c>
      <c r="M537" s="12" t="s">
        <v>70</v>
      </c>
      <c r="N537" s="12"/>
    </row>
    <row r="538" customFormat="false" ht="15" hidden="false" customHeight="false" outlineLevel="0" collapsed="false">
      <c r="A538" s="13" t="s">
        <v>603</v>
      </c>
      <c r="B538" s="12" t="s">
        <v>24</v>
      </c>
      <c r="C538" s="12" t="s">
        <v>19</v>
      </c>
      <c r="D538" s="13" t="s">
        <v>419</v>
      </c>
      <c r="E538" s="16" t="n">
        <v>46136</v>
      </c>
      <c r="F538" s="15" t="n">
        <f aca="false">ROUND((IF(K538="",DATE(2026,9,30),K538)-E538)/365.25,1)</f>
        <v>0.4</v>
      </c>
      <c r="G538" s="12"/>
      <c r="H538" s="16" t="n">
        <v>46136</v>
      </c>
      <c r="I538" s="12" t="s">
        <v>49</v>
      </c>
      <c r="J538" s="12" t="s">
        <v>47</v>
      </c>
      <c r="K538" s="12"/>
      <c r="L538" s="13" t="s">
        <v>485</v>
      </c>
      <c r="M538" s="12" t="s">
        <v>70</v>
      </c>
      <c r="N538" s="12"/>
    </row>
    <row r="539" customFormat="false" ht="15" hidden="false" customHeight="false" outlineLevel="0" collapsed="false">
      <c r="A539" s="13" t="s">
        <v>604</v>
      </c>
      <c r="B539" s="12" t="s">
        <v>24</v>
      </c>
      <c r="C539" s="12" t="s">
        <v>20</v>
      </c>
      <c r="D539" s="13" t="s">
        <v>419</v>
      </c>
      <c r="E539" s="16" t="n">
        <v>46138</v>
      </c>
      <c r="F539" s="15" t="n">
        <f aca="false">ROUND((IF(K539="",DATE(2026,9,30),K539)-E539)/365.25,1)</f>
        <v>0.4</v>
      </c>
      <c r="G539" s="12"/>
      <c r="H539" s="16" t="n">
        <v>46138</v>
      </c>
      <c r="I539" s="12" t="s">
        <v>49</v>
      </c>
      <c r="J539" s="12" t="s">
        <v>47</v>
      </c>
      <c r="K539" s="12"/>
      <c r="L539" s="13" t="s">
        <v>456</v>
      </c>
      <c r="M539" s="12" t="s">
        <v>70</v>
      </c>
      <c r="N539" s="12"/>
    </row>
    <row r="540" customFormat="false" ht="15" hidden="false" customHeight="false" outlineLevel="0" collapsed="false">
      <c r="A540" s="13" t="s">
        <v>605</v>
      </c>
      <c r="B540" s="12" t="s">
        <v>24</v>
      </c>
      <c r="C540" s="12" t="s">
        <v>19</v>
      </c>
      <c r="D540" s="13" t="s">
        <v>410</v>
      </c>
      <c r="E540" s="16" t="n">
        <v>46140</v>
      </c>
      <c r="F540" s="15" t="n">
        <f aca="false">ROUND((IF(K540="",DATE(2026,9,30),K540)-E540)/365.25,1)</f>
        <v>0</v>
      </c>
      <c r="G540" s="12"/>
      <c r="H540" s="16" t="n">
        <v>46140</v>
      </c>
      <c r="I540" s="12" t="s">
        <v>49</v>
      </c>
      <c r="J540" s="12" t="s">
        <v>42</v>
      </c>
      <c r="K540" s="17" t="n">
        <v>46146</v>
      </c>
      <c r="L540" s="13" t="s">
        <v>535</v>
      </c>
      <c r="M540" s="12" t="s">
        <v>70</v>
      </c>
      <c r="N540" s="12"/>
    </row>
    <row r="541" customFormat="false" ht="15" hidden="false" customHeight="false" outlineLevel="0" collapsed="false">
      <c r="A541" s="13" t="s">
        <v>606</v>
      </c>
      <c r="B541" s="12" t="s">
        <v>24</v>
      </c>
      <c r="C541" s="12" t="s">
        <v>20</v>
      </c>
      <c r="D541" s="13" t="s">
        <v>410</v>
      </c>
      <c r="E541" s="16" t="n">
        <v>46140</v>
      </c>
      <c r="F541" s="15" t="n">
        <f aca="false">ROUND((IF(K541="",DATE(2026,9,30),K541)-E541)/365.25,1)</f>
        <v>0</v>
      </c>
      <c r="G541" s="12"/>
      <c r="H541" s="16" t="n">
        <v>46140</v>
      </c>
      <c r="I541" s="12" t="s">
        <v>49</v>
      </c>
      <c r="J541" s="12" t="s">
        <v>42</v>
      </c>
      <c r="K541" s="17" t="n">
        <v>46146</v>
      </c>
      <c r="L541" s="13" t="s">
        <v>535</v>
      </c>
      <c r="M541" s="12" t="s">
        <v>70</v>
      </c>
      <c r="N541" s="12"/>
    </row>
    <row r="542" customFormat="false" ht="15" hidden="false" customHeight="false" outlineLevel="0" collapsed="false">
      <c r="A542" s="13" t="s">
        <v>607</v>
      </c>
      <c r="B542" s="12" t="s">
        <v>24</v>
      </c>
      <c r="C542" s="12" t="s">
        <v>19</v>
      </c>
      <c r="D542" s="13" t="s">
        <v>419</v>
      </c>
      <c r="E542" s="16" t="n">
        <v>46145</v>
      </c>
      <c r="F542" s="15" t="n">
        <f aca="false">ROUND((IF(K542="",DATE(2026,9,30),K542)-E542)/365.25,1)</f>
        <v>0.4</v>
      </c>
      <c r="G542" s="12"/>
      <c r="H542" s="16" t="n">
        <v>46145</v>
      </c>
      <c r="I542" s="12" t="s">
        <v>49</v>
      </c>
      <c r="J542" s="12" t="s">
        <v>47</v>
      </c>
      <c r="K542" s="12"/>
      <c r="L542" s="13" t="s">
        <v>479</v>
      </c>
      <c r="M542" s="12" t="s">
        <v>70</v>
      </c>
      <c r="N542" s="12"/>
    </row>
    <row r="543" customFormat="false" ht="15" hidden="false" customHeight="false" outlineLevel="0" collapsed="false">
      <c r="A543" s="13" t="s">
        <v>608</v>
      </c>
      <c r="B543" s="12" t="s">
        <v>24</v>
      </c>
      <c r="C543" s="12" t="s">
        <v>20</v>
      </c>
      <c r="D543" s="13" t="s">
        <v>419</v>
      </c>
      <c r="E543" s="16" t="n">
        <v>46145</v>
      </c>
      <c r="F543" s="15" t="n">
        <f aca="false">ROUND((IF(K543="",DATE(2026,9,30),K543)-E543)/365.25,1)</f>
        <v>0.4</v>
      </c>
      <c r="G543" s="12"/>
      <c r="H543" s="16" t="n">
        <v>46145</v>
      </c>
      <c r="I543" s="12" t="s">
        <v>49</v>
      </c>
      <c r="J543" s="12" t="s">
        <v>47</v>
      </c>
      <c r="K543" s="12"/>
      <c r="L543" s="13" t="s">
        <v>479</v>
      </c>
      <c r="M543" s="12" t="s">
        <v>70</v>
      </c>
      <c r="N543" s="12"/>
    </row>
    <row r="544" customFormat="false" ht="15" hidden="false" customHeight="false" outlineLevel="0" collapsed="false">
      <c r="A544" s="13" t="s">
        <v>609</v>
      </c>
      <c r="B544" s="12" t="s">
        <v>24</v>
      </c>
      <c r="C544" s="12" t="s">
        <v>19</v>
      </c>
      <c r="D544" s="13" t="s">
        <v>408</v>
      </c>
      <c r="E544" s="16" t="n">
        <v>46152</v>
      </c>
      <c r="F544" s="15" t="n">
        <f aca="false">ROUND((IF(K544="",DATE(2026,9,30),K544)-E544)/365.25,1)</f>
        <v>0.4</v>
      </c>
      <c r="G544" s="12"/>
      <c r="H544" s="16" t="n">
        <v>46152</v>
      </c>
      <c r="I544" s="12" t="s">
        <v>49</v>
      </c>
      <c r="J544" s="12" t="s">
        <v>47</v>
      </c>
      <c r="K544" s="12"/>
      <c r="L544" s="13" t="s">
        <v>544</v>
      </c>
      <c r="M544" s="12" t="s">
        <v>70</v>
      </c>
      <c r="N544" s="12"/>
    </row>
    <row r="545" customFormat="false" ht="15" hidden="false" customHeight="false" outlineLevel="0" collapsed="false">
      <c r="A545" s="13" t="s">
        <v>610</v>
      </c>
      <c r="B545" s="12" t="s">
        <v>24</v>
      </c>
      <c r="C545" s="12" t="s">
        <v>19</v>
      </c>
      <c r="D545" s="13" t="s">
        <v>408</v>
      </c>
      <c r="E545" s="16" t="n">
        <v>46154</v>
      </c>
      <c r="F545" s="15" t="n">
        <f aca="false">ROUND((IF(K545="",DATE(2026,9,30),K545)-E545)/365.25,1)</f>
        <v>0.4</v>
      </c>
      <c r="G545" s="12"/>
      <c r="H545" s="16" t="n">
        <v>46154</v>
      </c>
      <c r="I545" s="12" t="s">
        <v>49</v>
      </c>
      <c r="J545" s="12" t="s">
        <v>47</v>
      </c>
      <c r="K545" s="12"/>
      <c r="L545" s="13" t="s">
        <v>513</v>
      </c>
      <c r="M545" s="12" t="s">
        <v>70</v>
      </c>
      <c r="N545" s="12"/>
    </row>
    <row r="546" customFormat="false" ht="15" hidden="false" customHeight="false" outlineLevel="0" collapsed="false">
      <c r="A546" s="13" t="s">
        <v>611</v>
      </c>
      <c r="B546" s="12" t="s">
        <v>24</v>
      </c>
      <c r="C546" s="12" t="s">
        <v>19</v>
      </c>
      <c r="D546" s="13" t="s">
        <v>408</v>
      </c>
      <c r="E546" s="16" t="n">
        <v>46154</v>
      </c>
      <c r="F546" s="15" t="n">
        <f aca="false">ROUND((IF(K546="",DATE(2026,9,30),K546)-E546)/365.25,1)</f>
        <v>0.4</v>
      </c>
      <c r="G546" s="12"/>
      <c r="H546" s="16" t="n">
        <v>46154</v>
      </c>
      <c r="I546" s="12" t="s">
        <v>49</v>
      </c>
      <c r="J546" s="12" t="s">
        <v>47</v>
      </c>
      <c r="K546" s="12"/>
      <c r="L546" s="13" t="s">
        <v>513</v>
      </c>
      <c r="M546" s="12" t="s">
        <v>70</v>
      </c>
      <c r="N546" s="12"/>
    </row>
    <row r="547" customFormat="false" ht="15" hidden="false" customHeight="false" outlineLevel="0" collapsed="false">
      <c r="A547" s="13" t="s">
        <v>612</v>
      </c>
      <c r="B547" s="12" t="s">
        <v>24</v>
      </c>
      <c r="C547" s="12" t="s">
        <v>20</v>
      </c>
      <c r="D547" s="13" t="s">
        <v>408</v>
      </c>
      <c r="E547" s="16" t="n">
        <v>46154</v>
      </c>
      <c r="F547" s="15" t="n">
        <f aca="false">ROUND((IF(K547="",DATE(2026,9,30),K547)-E547)/365.25,1)</f>
        <v>0.4</v>
      </c>
      <c r="G547" s="12"/>
      <c r="H547" s="16" t="n">
        <v>46154</v>
      </c>
      <c r="I547" s="12" t="s">
        <v>49</v>
      </c>
      <c r="J547" s="12" t="s">
        <v>47</v>
      </c>
      <c r="K547" s="12"/>
      <c r="L547" s="13" t="s">
        <v>472</v>
      </c>
      <c r="M547" s="12" t="s">
        <v>70</v>
      </c>
      <c r="N547" s="12"/>
    </row>
    <row r="548" customFormat="false" ht="15" hidden="false" customHeight="false" outlineLevel="0" collapsed="false">
      <c r="A548" s="13" t="s">
        <v>613</v>
      </c>
      <c r="B548" s="12" t="s">
        <v>24</v>
      </c>
      <c r="C548" s="12" t="s">
        <v>19</v>
      </c>
      <c r="D548" s="13" t="s">
        <v>410</v>
      </c>
      <c r="E548" s="16" t="n">
        <v>46155</v>
      </c>
      <c r="F548" s="15" t="n">
        <f aca="false">ROUND((IF(K548="",DATE(2026,9,30),K548)-E548)/365.25,1)</f>
        <v>0</v>
      </c>
      <c r="G548" s="12"/>
      <c r="H548" s="16" t="n">
        <v>46155</v>
      </c>
      <c r="I548" s="12" t="s">
        <v>49</v>
      </c>
      <c r="J548" s="12" t="s">
        <v>42</v>
      </c>
      <c r="K548" s="17" t="n">
        <v>46160</v>
      </c>
      <c r="L548" s="13" t="s">
        <v>497</v>
      </c>
      <c r="M548" s="12" t="s">
        <v>70</v>
      </c>
      <c r="N548" s="12"/>
    </row>
    <row r="549" customFormat="false" ht="15" hidden="false" customHeight="false" outlineLevel="0" collapsed="false">
      <c r="A549" s="13" t="s">
        <v>614</v>
      </c>
      <c r="B549" s="12" t="s">
        <v>24</v>
      </c>
      <c r="C549" s="12" t="s">
        <v>20</v>
      </c>
      <c r="D549" s="13" t="s">
        <v>419</v>
      </c>
      <c r="E549" s="16" t="n">
        <v>46156</v>
      </c>
      <c r="F549" s="15" t="n">
        <f aca="false">ROUND((IF(K549="",DATE(2026,9,30),K549)-E549)/365.25,1)</f>
        <v>0.4</v>
      </c>
      <c r="G549" s="12"/>
      <c r="H549" s="16" t="n">
        <v>46156</v>
      </c>
      <c r="I549" s="12" t="s">
        <v>49</v>
      </c>
      <c r="J549" s="12" t="s">
        <v>47</v>
      </c>
      <c r="K549" s="12"/>
      <c r="L549" s="13" t="s">
        <v>501</v>
      </c>
      <c r="M549" s="12" t="s">
        <v>70</v>
      </c>
      <c r="N549" s="12"/>
    </row>
    <row r="550" customFormat="false" ht="15" hidden="false" customHeight="false" outlineLevel="0" collapsed="false">
      <c r="A550" s="13" t="s">
        <v>615</v>
      </c>
      <c r="B550" s="12" t="s">
        <v>24</v>
      </c>
      <c r="C550" s="12" t="s">
        <v>20</v>
      </c>
      <c r="D550" s="13" t="s">
        <v>419</v>
      </c>
      <c r="E550" s="16" t="n">
        <v>46157</v>
      </c>
      <c r="F550" s="15" t="n">
        <f aca="false">ROUND((IF(K550="",DATE(2026,9,30),K550)-E550)/365.25,1)</f>
        <v>0</v>
      </c>
      <c r="G550" s="12"/>
      <c r="H550" s="16" t="n">
        <v>46157</v>
      </c>
      <c r="I550" s="12" t="s">
        <v>49</v>
      </c>
      <c r="J550" s="12" t="s">
        <v>42</v>
      </c>
      <c r="K550" s="17" t="n">
        <v>46159</v>
      </c>
      <c r="L550" s="13" t="s">
        <v>531</v>
      </c>
      <c r="M550" s="12" t="s">
        <v>70</v>
      </c>
      <c r="N550" s="12"/>
    </row>
    <row r="551" customFormat="false" ht="15" hidden="false" customHeight="false" outlineLevel="0" collapsed="false">
      <c r="A551" s="13" t="s">
        <v>616</v>
      </c>
      <c r="B551" s="12" t="s">
        <v>24</v>
      </c>
      <c r="C551" s="12" t="s">
        <v>19</v>
      </c>
      <c r="D551" s="13" t="s">
        <v>419</v>
      </c>
      <c r="E551" s="16" t="n">
        <v>46159</v>
      </c>
      <c r="F551" s="15" t="n">
        <f aca="false">ROUND((IF(K551="",DATE(2026,9,30),K551)-E551)/365.25,1)</f>
        <v>0.4</v>
      </c>
      <c r="G551" s="12"/>
      <c r="H551" s="16" t="n">
        <v>46159</v>
      </c>
      <c r="I551" s="12" t="s">
        <v>49</v>
      </c>
      <c r="J551" s="12" t="s">
        <v>47</v>
      </c>
      <c r="K551" s="12"/>
      <c r="L551" s="13" t="s">
        <v>486</v>
      </c>
      <c r="M551" s="12" t="s">
        <v>70</v>
      </c>
      <c r="N551" s="12"/>
    </row>
    <row r="552" customFormat="false" ht="15" hidden="false" customHeight="false" outlineLevel="0" collapsed="false">
      <c r="A552" s="13" t="s">
        <v>617</v>
      </c>
      <c r="B552" s="12" t="s">
        <v>24</v>
      </c>
      <c r="C552" s="12" t="s">
        <v>19</v>
      </c>
      <c r="D552" s="13" t="s">
        <v>419</v>
      </c>
      <c r="E552" s="16" t="n">
        <v>46159</v>
      </c>
      <c r="F552" s="15" t="n">
        <f aca="false">ROUND((IF(K552="",DATE(2026,9,30),K552)-E552)/365.25,1)</f>
        <v>0.4</v>
      </c>
      <c r="G552" s="12"/>
      <c r="H552" s="16" t="n">
        <v>46159</v>
      </c>
      <c r="I552" s="12" t="s">
        <v>49</v>
      </c>
      <c r="J552" s="12" t="s">
        <v>47</v>
      </c>
      <c r="K552" s="12"/>
      <c r="L552" s="13" t="s">
        <v>486</v>
      </c>
      <c r="M552" s="12" t="s">
        <v>70</v>
      </c>
      <c r="N552" s="12"/>
    </row>
    <row r="553" customFormat="false" ht="15" hidden="false" customHeight="false" outlineLevel="0" collapsed="false">
      <c r="A553" s="13" t="s">
        <v>618</v>
      </c>
      <c r="B553" s="12" t="s">
        <v>24</v>
      </c>
      <c r="C553" s="12" t="s">
        <v>20</v>
      </c>
      <c r="D553" s="13" t="s">
        <v>408</v>
      </c>
      <c r="E553" s="16" t="n">
        <v>46161</v>
      </c>
      <c r="F553" s="15" t="n">
        <f aca="false">ROUND((IF(K553="",DATE(2026,9,30),K553)-E553)/365.25,1)</f>
        <v>0.4</v>
      </c>
      <c r="G553" s="12"/>
      <c r="H553" s="16" t="n">
        <v>46161</v>
      </c>
      <c r="I553" s="12" t="s">
        <v>49</v>
      </c>
      <c r="J553" s="12" t="s">
        <v>47</v>
      </c>
      <c r="K553" s="12"/>
      <c r="L553" s="13" t="s">
        <v>516</v>
      </c>
      <c r="M553" s="12" t="s">
        <v>70</v>
      </c>
      <c r="N553" s="12"/>
    </row>
    <row r="554" customFormat="false" ht="15" hidden="false" customHeight="false" outlineLevel="0" collapsed="false">
      <c r="A554" s="13" t="s">
        <v>619</v>
      </c>
      <c r="B554" s="12" t="s">
        <v>24</v>
      </c>
      <c r="C554" s="12" t="s">
        <v>20</v>
      </c>
      <c r="D554" s="13" t="s">
        <v>408</v>
      </c>
      <c r="E554" s="16" t="n">
        <v>46188</v>
      </c>
      <c r="F554" s="15" t="n">
        <f aca="false">ROUND((IF(K554="",DATE(2026,9,30),K554)-E554)/365.25,1)</f>
        <v>0.3</v>
      </c>
      <c r="G554" s="12"/>
      <c r="H554" s="16" t="n">
        <v>46188</v>
      </c>
      <c r="I554" s="12" t="s">
        <v>49</v>
      </c>
      <c r="J554" s="12" t="s">
        <v>47</v>
      </c>
      <c r="K554" s="12"/>
      <c r="L554" s="13" t="s">
        <v>518</v>
      </c>
      <c r="M554" s="12" t="s">
        <v>70</v>
      </c>
      <c r="N554" s="12"/>
    </row>
    <row r="555" customFormat="false" ht="15" hidden="false" customHeight="false" outlineLevel="0" collapsed="false">
      <c r="A555" s="13" t="s">
        <v>620</v>
      </c>
      <c r="B555" s="12" t="s">
        <v>24</v>
      </c>
      <c r="C555" s="12" t="s">
        <v>20</v>
      </c>
      <c r="D555" s="13" t="s">
        <v>408</v>
      </c>
      <c r="E555" s="16" t="n">
        <v>46189</v>
      </c>
      <c r="F555" s="15" t="n">
        <f aca="false">ROUND((IF(K555="",DATE(2026,9,30),K555)-E555)/365.25,1)</f>
        <v>0.2</v>
      </c>
      <c r="G555" s="12"/>
      <c r="H555" s="16" t="n">
        <v>46189</v>
      </c>
      <c r="I555" s="12" t="s">
        <v>49</v>
      </c>
      <c r="J555" s="12" t="s">
        <v>42</v>
      </c>
      <c r="K555" s="17" t="n">
        <v>46263</v>
      </c>
      <c r="L555" s="13" t="s">
        <v>460</v>
      </c>
      <c r="M555" s="12" t="s">
        <v>70</v>
      </c>
      <c r="N555" s="12"/>
    </row>
    <row r="556" customFormat="false" ht="15" hidden="false" customHeight="false" outlineLevel="0" collapsed="false">
      <c r="A556" s="13" t="s">
        <v>621</v>
      </c>
      <c r="B556" s="12" t="s">
        <v>24</v>
      </c>
      <c r="C556" s="12" t="s">
        <v>20</v>
      </c>
      <c r="D556" s="13" t="s">
        <v>408</v>
      </c>
      <c r="E556" s="16" t="n">
        <v>46195</v>
      </c>
      <c r="F556" s="15" t="n">
        <f aca="false">ROUND((IF(K556="",DATE(2026,9,30),K556)-E556)/365.25,1)</f>
        <v>0.3</v>
      </c>
      <c r="G556" s="12"/>
      <c r="H556" s="16" t="n">
        <v>46195</v>
      </c>
      <c r="I556" s="12" t="s">
        <v>49</v>
      </c>
      <c r="J556" s="12" t="s">
        <v>47</v>
      </c>
      <c r="K556" s="12"/>
      <c r="L556" s="13" t="s">
        <v>458</v>
      </c>
      <c r="M556" s="12" t="s">
        <v>70</v>
      </c>
      <c r="N556" s="12"/>
    </row>
    <row r="557" customFormat="false" ht="15" hidden="false" customHeight="false" outlineLevel="0" collapsed="false">
      <c r="A557" s="13" t="s">
        <v>622</v>
      </c>
      <c r="B557" s="12" t="s">
        <v>24</v>
      </c>
      <c r="C557" s="12" t="s">
        <v>20</v>
      </c>
      <c r="D557" s="13" t="s">
        <v>410</v>
      </c>
      <c r="E557" s="16" t="n">
        <v>46196</v>
      </c>
      <c r="F557" s="15" t="n">
        <f aca="false">ROUND((IF(K557="",DATE(2026,9,30),K557)-E557)/365.25,1)</f>
        <v>0.3</v>
      </c>
      <c r="G557" s="12"/>
      <c r="H557" s="16" t="n">
        <v>46196</v>
      </c>
      <c r="I557" s="12" t="s">
        <v>49</v>
      </c>
      <c r="J557" s="12" t="s">
        <v>47</v>
      </c>
      <c r="K557" s="12"/>
      <c r="L557" s="13" t="s">
        <v>467</v>
      </c>
      <c r="M557" s="12" t="s">
        <v>70</v>
      </c>
      <c r="N557" s="12"/>
    </row>
    <row r="558" customFormat="false" ht="15" hidden="false" customHeight="false" outlineLevel="0" collapsed="false">
      <c r="A558" s="13" t="s">
        <v>623</v>
      </c>
      <c r="B558" s="12" t="s">
        <v>24</v>
      </c>
      <c r="C558" s="12" t="s">
        <v>20</v>
      </c>
      <c r="D558" s="13" t="s">
        <v>408</v>
      </c>
      <c r="E558" s="16" t="n">
        <v>46198</v>
      </c>
      <c r="F558" s="15" t="n">
        <f aca="false">ROUND((IF(K558="",DATE(2026,9,30),K558)-E558)/365.25,1)</f>
        <v>0</v>
      </c>
      <c r="G558" s="12"/>
      <c r="H558" s="16" t="n">
        <v>46198</v>
      </c>
      <c r="I558" s="12" t="s">
        <v>49</v>
      </c>
      <c r="J558" s="12" t="s">
        <v>42</v>
      </c>
      <c r="K558" s="17" t="n">
        <v>46200</v>
      </c>
      <c r="L558" s="13" t="s">
        <v>526</v>
      </c>
      <c r="M558" s="12" t="s">
        <v>70</v>
      </c>
      <c r="N558" s="12"/>
    </row>
    <row r="559" customFormat="false" ht="15" hidden="false" customHeight="false" outlineLevel="0" collapsed="false">
      <c r="A559" s="13" t="s">
        <v>624</v>
      </c>
      <c r="B559" s="12" t="s">
        <v>24</v>
      </c>
      <c r="C559" s="12" t="s">
        <v>19</v>
      </c>
      <c r="D559" s="13" t="s">
        <v>408</v>
      </c>
      <c r="E559" s="16" t="n">
        <v>46202</v>
      </c>
      <c r="F559" s="15" t="n">
        <f aca="false">ROUND((IF(K559="",DATE(2026,9,30),K559)-E559)/365.25,1)</f>
        <v>0.3</v>
      </c>
      <c r="G559" s="12"/>
      <c r="H559" s="16" t="n">
        <v>46202</v>
      </c>
      <c r="I559" s="12" t="s">
        <v>49</v>
      </c>
      <c r="J559" s="12" t="s">
        <v>47</v>
      </c>
      <c r="K559" s="12"/>
      <c r="L559" s="13" t="s">
        <v>482</v>
      </c>
      <c r="M559" s="12" t="s">
        <v>70</v>
      </c>
      <c r="N559" s="12"/>
    </row>
    <row r="560" customFormat="false" ht="15" hidden="false" customHeight="false" outlineLevel="0" collapsed="false">
      <c r="A560" s="13" t="s">
        <v>625</v>
      </c>
      <c r="B560" s="12" t="s">
        <v>24</v>
      </c>
      <c r="C560" s="12" t="s">
        <v>19</v>
      </c>
      <c r="D560" s="13" t="s">
        <v>408</v>
      </c>
      <c r="E560" s="16" t="n">
        <v>46203</v>
      </c>
      <c r="F560" s="15" t="n">
        <f aca="false">ROUND((IF(K560="",DATE(2026,9,30),K560)-E560)/365.25,1)</f>
        <v>0.3</v>
      </c>
      <c r="G560" s="12"/>
      <c r="H560" s="16" t="n">
        <v>46203</v>
      </c>
      <c r="I560" s="12" t="s">
        <v>49</v>
      </c>
      <c r="J560" s="12" t="s">
        <v>47</v>
      </c>
      <c r="K560" s="12"/>
      <c r="L560" s="13" t="s">
        <v>505</v>
      </c>
      <c r="M560" s="12" t="s">
        <v>70</v>
      </c>
      <c r="N560" s="12"/>
    </row>
    <row r="561" customFormat="false" ht="15" hidden="false" customHeight="false" outlineLevel="0" collapsed="false">
      <c r="A561" s="13" t="s">
        <v>626</v>
      </c>
      <c r="B561" s="12" t="s">
        <v>24</v>
      </c>
      <c r="C561" s="12" t="s">
        <v>20</v>
      </c>
      <c r="D561" s="13" t="s">
        <v>408</v>
      </c>
      <c r="E561" s="16" t="n">
        <v>46203</v>
      </c>
      <c r="F561" s="15" t="n">
        <f aca="false">ROUND((IF(K561="",DATE(2026,9,30),K561)-E561)/365.25,1)</f>
        <v>0.3</v>
      </c>
      <c r="G561" s="12"/>
      <c r="H561" s="16" t="n">
        <v>46203</v>
      </c>
      <c r="I561" s="12" t="s">
        <v>49</v>
      </c>
      <c r="J561" s="12" t="s">
        <v>47</v>
      </c>
      <c r="K561" s="12"/>
      <c r="L561" s="13" t="s">
        <v>505</v>
      </c>
      <c r="M561" s="12" t="s">
        <v>70</v>
      </c>
      <c r="N561" s="12"/>
    </row>
    <row r="562" customFormat="false" ht="15" hidden="false" customHeight="false" outlineLevel="0" collapsed="false">
      <c r="A562" s="13" t="s">
        <v>627</v>
      </c>
      <c r="B562" s="12" t="s">
        <v>24</v>
      </c>
      <c r="C562" s="12" t="s">
        <v>19</v>
      </c>
      <c r="D562" s="13" t="s">
        <v>408</v>
      </c>
      <c r="E562" s="16" t="n">
        <v>46205</v>
      </c>
      <c r="F562" s="15" t="n">
        <f aca="false">ROUND((IF(K562="",DATE(2026,9,30),K562)-E562)/365.25,1)</f>
        <v>0.2</v>
      </c>
      <c r="G562" s="12"/>
      <c r="H562" s="16" t="n">
        <v>46205</v>
      </c>
      <c r="I562" s="12" t="s">
        <v>49</v>
      </c>
      <c r="J562" s="12" t="s">
        <v>47</v>
      </c>
      <c r="K562" s="12"/>
      <c r="L562" s="13" t="s">
        <v>546</v>
      </c>
      <c r="M562" s="12" t="s">
        <v>70</v>
      </c>
      <c r="N562" s="12"/>
    </row>
    <row r="563" customFormat="false" ht="15" hidden="false" customHeight="false" outlineLevel="0" collapsed="false">
      <c r="A563" s="13" t="s">
        <v>628</v>
      </c>
      <c r="B563" s="12" t="s">
        <v>24</v>
      </c>
      <c r="C563" s="12" t="s">
        <v>19</v>
      </c>
      <c r="D563" s="13" t="s">
        <v>419</v>
      </c>
      <c r="E563" s="16" t="n">
        <v>46222</v>
      </c>
      <c r="F563" s="15" t="n">
        <f aca="false">ROUND((IF(K563="",DATE(2026,9,30),K563)-E563)/365.25,1)</f>
        <v>0.1</v>
      </c>
      <c r="G563" s="12"/>
      <c r="H563" s="16" t="n">
        <v>46222</v>
      </c>
      <c r="I563" s="12" t="s">
        <v>49</v>
      </c>
      <c r="J563" s="12" t="s">
        <v>42</v>
      </c>
      <c r="K563" s="17" t="n">
        <v>46274</v>
      </c>
      <c r="L563" s="13" t="s">
        <v>536</v>
      </c>
      <c r="M563" s="12" t="s">
        <v>70</v>
      </c>
      <c r="N563" s="12"/>
    </row>
    <row r="564" customFormat="false" ht="15" hidden="false" customHeight="false" outlineLevel="0" collapsed="false">
      <c r="A564" s="13" t="s">
        <v>629</v>
      </c>
      <c r="B564" s="12" t="s">
        <v>24</v>
      </c>
      <c r="C564" s="12" t="s">
        <v>20</v>
      </c>
      <c r="D564" s="13" t="s">
        <v>408</v>
      </c>
      <c r="E564" s="16" t="n">
        <v>46224</v>
      </c>
      <c r="F564" s="15" t="n">
        <f aca="false">ROUND((IF(K564="",DATE(2026,9,30),K564)-E564)/365.25,1)</f>
        <v>0.1</v>
      </c>
      <c r="G564" s="12"/>
      <c r="H564" s="16" t="n">
        <v>46224</v>
      </c>
      <c r="I564" s="12" t="s">
        <v>49</v>
      </c>
      <c r="J564" s="12" t="s">
        <v>163</v>
      </c>
      <c r="K564" s="17" t="n">
        <v>46261</v>
      </c>
      <c r="L564" s="13" t="s">
        <v>551</v>
      </c>
      <c r="M564" s="12" t="s">
        <v>70</v>
      </c>
      <c r="N564" s="12"/>
    </row>
    <row r="565" customFormat="false" ht="15" hidden="false" customHeight="false" outlineLevel="0" collapsed="false">
      <c r="A565" s="13" t="s">
        <v>630</v>
      </c>
      <c r="B565" s="12" t="s">
        <v>24</v>
      </c>
      <c r="C565" s="12" t="s">
        <v>20</v>
      </c>
      <c r="D565" s="13" t="s">
        <v>408</v>
      </c>
      <c r="E565" s="16" t="n">
        <v>46233</v>
      </c>
      <c r="F565" s="15" t="n">
        <f aca="false">ROUND((IF(K565="",DATE(2026,9,30),K565)-E565)/365.25,1)</f>
        <v>0.2</v>
      </c>
      <c r="G565" s="12"/>
      <c r="H565" s="16" t="n">
        <v>46233</v>
      </c>
      <c r="I565" s="12" t="s">
        <v>49</v>
      </c>
      <c r="J565" s="12" t="s">
        <v>47</v>
      </c>
      <c r="K565" s="12"/>
      <c r="L565" s="13" t="s">
        <v>469</v>
      </c>
      <c r="M565" s="12" t="s">
        <v>70</v>
      </c>
      <c r="N565" s="12"/>
    </row>
    <row r="566" customFormat="false" ht="15" hidden="false" customHeight="false" outlineLevel="0" collapsed="false">
      <c r="A566" s="13" t="s">
        <v>631</v>
      </c>
      <c r="B566" s="12" t="s">
        <v>24</v>
      </c>
      <c r="C566" s="12" t="s">
        <v>19</v>
      </c>
      <c r="D566" s="13" t="s">
        <v>408</v>
      </c>
      <c r="E566" s="16" t="n">
        <v>46235</v>
      </c>
      <c r="F566" s="15" t="n">
        <f aca="false">ROUND((IF(K566="",DATE(2026,9,30),K566)-E566)/365.25,1)</f>
        <v>0</v>
      </c>
      <c r="G566" s="12"/>
      <c r="H566" s="16" t="n">
        <v>46235</v>
      </c>
      <c r="I566" s="12" t="s">
        <v>49</v>
      </c>
      <c r="J566" s="12" t="s">
        <v>42</v>
      </c>
      <c r="K566" s="17" t="n">
        <v>46245</v>
      </c>
      <c r="L566" s="13" t="s">
        <v>481</v>
      </c>
      <c r="M566" s="12" t="s">
        <v>70</v>
      </c>
      <c r="N566" s="12"/>
    </row>
    <row r="567" customFormat="false" ht="15" hidden="false" customHeight="false" outlineLevel="0" collapsed="false">
      <c r="A567" s="13" t="s">
        <v>632</v>
      </c>
      <c r="B567" s="12" t="s">
        <v>24</v>
      </c>
      <c r="C567" s="12" t="s">
        <v>19</v>
      </c>
      <c r="D567" s="13" t="s">
        <v>408</v>
      </c>
      <c r="E567" s="16" t="n">
        <v>46235</v>
      </c>
      <c r="F567" s="15" t="n">
        <f aca="false">ROUND((IF(K567="",DATE(2026,9,30),K567)-E567)/365.25,1)</f>
        <v>0.1</v>
      </c>
      <c r="G567" s="12"/>
      <c r="H567" s="16" t="n">
        <v>46235</v>
      </c>
      <c r="I567" s="12" t="s">
        <v>49</v>
      </c>
      <c r="J567" s="12" t="s">
        <v>42</v>
      </c>
      <c r="K567" s="17" t="n">
        <v>46263</v>
      </c>
      <c r="L567" s="13" t="s">
        <v>481</v>
      </c>
      <c r="M567" s="12" t="s">
        <v>70</v>
      </c>
      <c r="N567" s="12"/>
    </row>
    <row r="568" customFormat="false" ht="15" hidden="false" customHeight="false" outlineLevel="0" collapsed="false">
      <c r="A568" s="11" t="s">
        <v>633</v>
      </c>
      <c r="B568" s="12" t="s">
        <v>24</v>
      </c>
      <c r="C568" s="12" t="s">
        <v>20</v>
      </c>
      <c r="D568" s="13" t="s">
        <v>410</v>
      </c>
      <c r="E568" s="16" t="n">
        <v>46237</v>
      </c>
      <c r="F568" s="15" t="n">
        <f aca="false">ROUND((IF(K568="",DATE(2026,9,30),K568)-E568)/365.25,1)</f>
        <v>0.2</v>
      </c>
      <c r="G568" s="11" t="s">
        <v>634</v>
      </c>
      <c r="H568" s="16" t="n">
        <v>46237</v>
      </c>
      <c r="I568" s="12" t="s">
        <v>49</v>
      </c>
      <c r="J568" s="12" t="s">
        <v>47</v>
      </c>
      <c r="K568" s="12"/>
      <c r="L568" s="13" t="s">
        <v>515</v>
      </c>
      <c r="M568" s="12" t="s">
        <v>70</v>
      </c>
      <c r="N568" s="12"/>
    </row>
    <row r="569" customFormat="false" ht="15" hidden="false" customHeight="false" outlineLevel="0" collapsed="false">
      <c r="A569" s="13" t="s">
        <v>635</v>
      </c>
      <c r="B569" s="12" t="s">
        <v>24</v>
      </c>
      <c r="C569" s="12" t="s">
        <v>19</v>
      </c>
      <c r="D569" s="13" t="s">
        <v>408</v>
      </c>
      <c r="E569" s="16" t="n">
        <v>46247</v>
      </c>
      <c r="F569" s="15" t="n">
        <f aca="false">ROUND((IF(K569="",DATE(2026,9,30),K569)-E569)/365.25,1)</f>
        <v>0</v>
      </c>
      <c r="G569" s="12"/>
      <c r="H569" s="16" t="n">
        <v>46247</v>
      </c>
      <c r="I569" s="12" t="s">
        <v>49</v>
      </c>
      <c r="J569" s="12" t="s">
        <v>42</v>
      </c>
      <c r="K569" s="17" t="n">
        <v>46250</v>
      </c>
      <c r="L569" s="13" t="s">
        <v>525</v>
      </c>
      <c r="M569" s="12" t="s">
        <v>70</v>
      </c>
      <c r="N569" s="12"/>
    </row>
    <row r="570" customFormat="false" ht="15" hidden="false" customHeight="false" outlineLevel="0" collapsed="false">
      <c r="A570" s="13" t="s">
        <v>636</v>
      </c>
      <c r="B570" s="12" t="s">
        <v>24</v>
      </c>
      <c r="C570" s="12" t="s">
        <v>19</v>
      </c>
      <c r="D570" s="13" t="s">
        <v>419</v>
      </c>
      <c r="E570" s="16" t="n">
        <v>46248</v>
      </c>
      <c r="F570" s="15" t="n">
        <f aca="false">ROUND((IF(K570="",DATE(2026,9,30),K570)-E570)/365.25,1)</f>
        <v>0</v>
      </c>
      <c r="G570" s="12"/>
      <c r="H570" s="16" t="n">
        <v>46248</v>
      </c>
      <c r="I570" s="12" t="s">
        <v>49</v>
      </c>
      <c r="J570" s="12" t="s">
        <v>42</v>
      </c>
      <c r="K570" s="17" t="n">
        <v>46252</v>
      </c>
      <c r="L570" s="13" t="s">
        <v>523</v>
      </c>
      <c r="M570" s="12" t="s">
        <v>70</v>
      </c>
      <c r="N570" s="12"/>
    </row>
    <row r="571" customFormat="false" ht="15" hidden="false" customHeight="false" outlineLevel="0" collapsed="false">
      <c r="A571" s="13" t="s">
        <v>637</v>
      </c>
      <c r="B571" s="12" t="s">
        <v>24</v>
      </c>
      <c r="C571" s="12" t="s">
        <v>19</v>
      </c>
      <c r="D571" s="13" t="s">
        <v>419</v>
      </c>
      <c r="E571" s="16" t="n">
        <v>46248</v>
      </c>
      <c r="F571" s="15" t="n">
        <f aca="false">ROUND((IF(K571="",DATE(2026,9,30),K571)-E571)/365.25,1)</f>
        <v>0</v>
      </c>
      <c r="G571" s="12"/>
      <c r="H571" s="16" t="n">
        <v>46248</v>
      </c>
      <c r="I571" s="12" t="s">
        <v>49</v>
      </c>
      <c r="J571" s="12" t="s">
        <v>42</v>
      </c>
      <c r="K571" s="17" t="n">
        <v>46250</v>
      </c>
      <c r="L571" s="13" t="s">
        <v>523</v>
      </c>
      <c r="M571" s="12" t="s">
        <v>70</v>
      </c>
      <c r="N571" s="12"/>
    </row>
    <row r="572" customFormat="false" ht="15" hidden="false" customHeight="false" outlineLevel="0" collapsed="false">
      <c r="A572" s="13" t="s">
        <v>638</v>
      </c>
      <c r="B572" s="12" t="s">
        <v>24</v>
      </c>
      <c r="C572" s="12" t="s">
        <v>19</v>
      </c>
      <c r="D572" s="13" t="s">
        <v>410</v>
      </c>
      <c r="E572" s="16" t="n">
        <v>46255</v>
      </c>
      <c r="F572" s="15" t="n">
        <f aca="false">ROUND((IF(K572="",DATE(2026,9,30),K572)-E572)/365.25,1)</f>
        <v>0</v>
      </c>
      <c r="G572" s="12"/>
      <c r="H572" s="16" t="n">
        <v>46255</v>
      </c>
      <c r="I572" s="12" t="s">
        <v>49</v>
      </c>
      <c r="J572" s="12" t="s">
        <v>42</v>
      </c>
      <c r="K572" s="17" t="n">
        <v>46260</v>
      </c>
      <c r="L572" s="13" t="s">
        <v>542</v>
      </c>
      <c r="M572" s="12" t="s">
        <v>70</v>
      </c>
      <c r="N572" s="12"/>
    </row>
    <row r="573" customFormat="false" ht="15" hidden="false" customHeight="false" outlineLevel="0" collapsed="false">
      <c r="A573" s="13" t="s">
        <v>639</v>
      </c>
      <c r="B573" s="12" t="s">
        <v>24</v>
      </c>
      <c r="C573" s="12" t="s">
        <v>20</v>
      </c>
      <c r="D573" s="13" t="s">
        <v>408</v>
      </c>
      <c r="E573" s="16" t="n">
        <v>46267</v>
      </c>
      <c r="F573" s="15" t="n">
        <f aca="false">ROUND((IF(K573="",DATE(2026,9,30),K573)-E573)/365.25,1)</f>
        <v>0</v>
      </c>
      <c r="G573" s="12"/>
      <c r="H573" s="16" t="n">
        <v>46267</v>
      </c>
      <c r="I573" s="12" t="s">
        <v>49</v>
      </c>
      <c r="J573" s="12" t="s">
        <v>42</v>
      </c>
      <c r="K573" s="17" t="n">
        <v>46281</v>
      </c>
      <c r="L573" s="13" t="s">
        <v>512</v>
      </c>
      <c r="M573" s="12" t="s">
        <v>70</v>
      </c>
      <c r="N573" s="12"/>
    </row>
    <row r="574" customFormat="false" ht="15" hidden="false" customHeight="false" outlineLevel="0" collapsed="false">
      <c r="A574" s="13" t="s">
        <v>640</v>
      </c>
      <c r="B574" s="12" t="s">
        <v>24</v>
      </c>
      <c r="C574" s="12" t="s">
        <v>19</v>
      </c>
      <c r="D574" s="13" t="s">
        <v>408</v>
      </c>
      <c r="E574" s="16" t="n">
        <v>46269</v>
      </c>
      <c r="F574" s="15" t="n">
        <f aca="false">ROUND((IF(K574="",DATE(2026,9,30),K574)-E574)/365.25,1)</f>
        <v>0</v>
      </c>
      <c r="G574" s="12"/>
      <c r="H574" s="16" t="n">
        <v>46269</v>
      </c>
      <c r="I574" s="12" t="s">
        <v>49</v>
      </c>
      <c r="J574" s="12" t="s">
        <v>42</v>
      </c>
      <c r="K574" s="17" t="n">
        <v>46270</v>
      </c>
      <c r="L574" s="13" t="s">
        <v>489</v>
      </c>
      <c r="M574" s="12" t="s">
        <v>70</v>
      </c>
      <c r="N574" s="12"/>
    </row>
    <row r="575" customFormat="false" ht="15" hidden="false" customHeight="false" outlineLevel="0" collapsed="false">
      <c r="A575" s="13" t="s">
        <v>641</v>
      </c>
      <c r="B575" s="12" t="s">
        <v>24</v>
      </c>
      <c r="C575" s="12" t="s">
        <v>19</v>
      </c>
      <c r="D575" s="13" t="s">
        <v>419</v>
      </c>
      <c r="E575" s="16" t="n">
        <v>46275</v>
      </c>
      <c r="F575" s="15" t="n">
        <f aca="false">ROUND((IF(K575="",DATE(2026,9,30),K575)-E575)/365.25,1)</f>
        <v>0.1</v>
      </c>
      <c r="G575" s="12"/>
      <c r="H575" s="16" t="n">
        <v>46275</v>
      </c>
      <c r="I575" s="12" t="s">
        <v>49</v>
      </c>
      <c r="J575" s="12" t="s">
        <v>47</v>
      </c>
      <c r="K575" s="12"/>
      <c r="L575" s="13" t="s">
        <v>557</v>
      </c>
      <c r="M575" s="12" t="s">
        <v>70</v>
      </c>
      <c r="N575" s="12"/>
    </row>
  </sheetData>
  <autoFilter ref="A1:N575"/>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2"/>
    <col collapsed="false" customWidth="true" hidden="false" outlineLevel="0" max="5" min="4" style="0" width="16"/>
    <col collapsed="false" customWidth="true" hidden="false" outlineLevel="0" max="6" min="6" style="0" width="12"/>
    <col collapsed="false" customWidth="true" hidden="false" outlineLevel="0" max="7" min="7" style="0" width="80"/>
  </cols>
  <sheetData>
    <row r="1" customFormat="false" ht="23.85" hidden="false" customHeight="false" outlineLevel="0" collapsed="false">
      <c r="A1" s="10" t="s">
        <v>642</v>
      </c>
      <c r="B1" s="10" t="s">
        <v>18</v>
      </c>
      <c r="C1" s="10" t="s">
        <v>36</v>
      </c>
      <c r="D1" s="10" t="s">
        <v>643</v>
      </c>
      <c r="E1" s="10" t="s">
        <v>644</v>
      </c>
      <c r="F1" s="10" t="s">
        <v>645</v>
      </c>
      <c r="G1" s="10" t="s">
        <v>646</v>
      </c>
    </row>
    <row r="2" customFormat="false" ht="15" hidden="false" customHeight="false" outlineLevel="0" collapsed="false">
      <c r="A2" s="16" t="n">
        <v>45659</v>
      </c>
      <c r="B2" s="12" t="s">
        <v>22</v>
      </c>
      <c r="C2" s="13" t="s">
        <v>124</v>
      </c>
      <c r="D2" s="12" t="s">
        <v>190</v>
      </c>
      <c r="E2" s="11" t="s">
        <v>19</v>
      </c>
      <c r="F2" s="12" t="s">
        <v>647</v>
      </c>
      <c r="G2" s="12" t="s">
        <v>648</v>
      </c>
    </row>
    <row r="3" customFormat="false" ht="15" hidden="false" customHeight="false" outlineLevel="0" collapsed="false">
      <c r="A3" s="16" t="n">
        <v>45661</v>
      </c>
      <c r="B3" s="12" t="s">
        <v>22</v>
      </c>
      <c r="C3" s="13" t="s">
        <v>114</v>
      </c>
      <c r="D3" s="12" t="s">
        <v>191</v>
      </c>
      <c r="E3" s="11" t="s">
        <v>20</v>
      </c>
      <c r="F3" s="12" t="s">
        <v>647</v>
      </c>
      <c r="G3" s="12" t="s">
        <v>649</v>
      </c>
    </row>
    <row r="4" customFormat="false" ht="15" hidden="false" customHeight="false" outlineLevel="0" collapsed="false">
      <c r="A4" s="16" t="n">
        <v>45663</v>
      </c>
      <c r="B4" s="12" t="s">
        <v>22</v>
      </c>
      <c r="C4" s="13" t="s">
        <v>116</v>
      </c>
      <c r="D4" s="12" t="s">
        <v>192</v>
      </c>
      <c r="E4" s="11" t="s">
        <v>19</v>
      </c>
      <c r="F4" s="12" t="s">
        <v>647</v>
      </c>
      <c r="G4" s="12" t="s">
        <v>650</v>
      </c>
    </row>
    <row r="5" customFormat="false" ht="15" hidden="false" customHeight="false" outlineLevel="0" collapsed="false">
      <c r="A5" s="16" t="n">
        <v>45667</v>
      </c>
      <c r="B5" s="12" t="s">
        <v>22</v>
      </c>
      <c r="C5" s="13" t="s">
        <v>143</v>
      </c>
      <c r="D5" s="12" t="s">
        <v>193</v>
      </c>
      <c r="E5" s="11" t="s">
        <v>19</v>
      </c>
      <c r="F5" s="12" t="s">
        <v>647</v>
      </c>
      <c r="G5" s="12" t="s">
        <v>651</v>
      </c>
    </row>
    <row r="6" customFormat="false" ht="15" hidden="false" customHeight="false" outlineLevel="0" collapsed="false">
      <c r="A6" s="16" t="n">
        <v>45672</v>
      </c>
      <c r="B6" s="12" t="s">
        <v>22</v>
      </c>
      <c r="C6" s="13" t="s">
        <v>117</v>
      </c>
      <c r="D6" s="12" t="s">
        <v>194</v>
      </c>
      <c r="E6" s="11" t="s">
        <v>19</v>
      </c>
      <c r="F6" s="12" t="s">
        <v>647</v>
      </c>
      <c r="G6" s="12" t="s">
        <v>652</v>
      </c>
    </row>
    <row r="7" customFormat="false" ht="15" hidden="false" customHeight="false" outlineLevel="0" collapsed="false">
      <c r="A7" s="16" t="n">
        <v>45679</v>
      </c>
      <c r="B7" s="12" t="s">
        <v>22</v>
      </c>
      <c r="C7" s="13" t="s">
        <v>121</v>
      </c>
      <c r="D7" s="12" t="s">
        <v>195</v>
      </c>
      <c r="E7" s="11" t="s">
        <v>20</v>
      </c>
      <c r="F7" s="12" t="s">
        <v>647</v>
      </c>
      <c r="G7" s="12" t="s">
        <v>653</v>
      </c>
    </row>
    <row r="8" customFormat="false" ht="15" hidden="false" customHeight="false" outlineLevel="0" collapsed="false">
      <c r="A8" s="16" t="n">
        <v>45729</v>
      </c>
      <c r="B8" s="12" t="s">
        <v>22</v>
      </c>
      <c r="C8" s="13" t="s">
        <v>50</v>
      </c>
      <c r="D8" s="12" t="s">
        <v>48</v>
      </c>
      <c r="E8" s="11" t="s">
        <v>19</v>
      </c>
      <c r="F8" s="12" t="s">
        <v>647</v>
      </c>
      <c r="G8" s="12" t="s">
        <v>654</v>
      </c>
    </row>
    <row r="9" customFormat="false" ht="15" hidden="false" customHeight="false" outlineLevel="0" collapsed="false">
      <c r="A9" s="16" t="n">
        <v>45761</v>
      </c>
      <c r="B9" s="12" t="s">
        <v>22</v>
      </c>
      <c r="C9" s="13" t="s">
        <v>134</v>
      </c>
      <c r="D9" s="12" t="s">
        <v>196</v>
      </c>
      <c r="E9" s="11" t="s">
        <v>19</v>
      </c>
      <c r="F9" s="12" t="s">
        <v>647</v>
      </c>
      <c r="G9" s="12" t="s">
        <v>655</v>
      </c>
    </row>
    <row r="10" customFormat="false" ht="15" hidden="false" customHeight="false" outlineLevel="0" collapsed="false">
      <c r="A10" s="16" t="n">
        <v>45772</v>
      </c>
      <c r="B10" s="12" t="s">
        <v>22</v>
      </c>
      <c r="C10" s="13" t="s">
        <v>63</v>
      </c>
      <c r="D10" s="12" t="s">
        <v>198</v>
      </c>
      <c r="E10" s="11" t="s">
        <v>19</v>
      </c>
      <c r="F10" s="12" t="s">
        <v>647</v>
      </c>
      <c r="G10" s="12" t="s">
        <v>656</v>
      </c>
    </row>
    <row r="11" customFormat="false" ht="15" hidden="false" customHeight="false" outlineLevel="0" collapsed="false">
      <c r="A11" s="16" t="n">
        <v>45807</v>
      </c>
      <c r="B11" s="12" t="s">
        <v>22</v>
      </c>
      <c r="C11" s="13" t="s">
        <v>146</v>
      </c>
      <c r="D11" s="12" t="s">
        <v>199</v>
      </c>
      <c r="E11" s="11" t="s">
        <v>19</v>
      </c>
      <c r="F11" s="12" t="s">
        <v>647</v>
      </c>
      <c r="G11" s="12" t="s">
        <v>657</v>
      </c>
    </row>
    <row r="12" customFormat="false" ht="15" hidden="false" customHeight="false" outlineLevel="0" collapsed="false">
      <c r="A12" s="16" t="n">
        <v>45820</v>
      </c>
      <c r="B12" s="12" t="s">
        <v>22</v>
      </c>
      <c r="C12" s="13" t="s">
        <v>109</v>
      </c>
      <c r="D12" s="12" t="s">
        <v>202</v>
      </c>
      <c r="E12" s="11" t="s">
        <v>20</v>
      </c>
      <c r="F12" s="12" t="s">
        <v>647</v>
      </c>
      <c r="G12" s="12" t="s">
        <v>658</v>
      </c>
    </row>
    <row r="13" customFormat="false" ht="15" hidden="false" customHeight="false" outlineLevel="0" collapsed="false">
      <c r="A13" s="16" t="n">
        <v>45820</v>
      </c>
      <c r="B13" s="12" t="s">
        <v>23</v>
      </c>
      <c r="C13" s="13" t="s">
        <v>302</v>
      </c>
      <c r="D13" s="12" t="s">
        <v>354</v>
      </c>
      <c r="E13" s="11" t="s">
        <v>19</v>
      </c>
      <c r="F13" s="12" t="s">
        <v>647</v>
      </c>
      <c r="G13" s="12" t="s">
        <v>659</v>
      </c>
    </row>
    <row r="14" customFormat="false" ht="15" hidden="false" customHeight="false" outlineLevel="0" collapsed="false">
      <c r="A14" s="16" t="n">
        <v>45820</v>
      </c>
      <c r="B14" s="12" t="s">
        <v>24</v>
      </c>
      <c r="C14" s="13" t="s">
        <v>477</v>
      </c>
      <c r="D14" s="12" t="s">
        <v>553</v>
      </c>
      <c r="E14" s="11" t="s">
        <v>19</v>
      </c>
      <c r="F14" s="12" t="s">
        <v>647</v>
      </c>
      <c r="G14" s="12" t="s">
        <v>660</v>
      </c>
    </row>
    <row r="15" customFormat="false" ht="15" hidden="false" customHeight="false" outlineLevel="0" collapsed="false">
      <c r="A15" s="16" t="n">
        <v>45821</v>
      </c>
      <c r="B15" s="12" t="s">
        <v>22</v>
      </c>
      <c r="C15" s="13" t="s">
        <v>56</v>
      </c>
      <c r="D15" s="12" t="s">
        <v>203</v>
      </c>
      <c r="E15" s="11" t="s">
        <v>19</v>
      </c>
      <c r="F15" s="12" t="s">
        <v>647</v>
      </c>
      <c r="G15" s="12" t="s">
        <v>661</v>
      </c>
    </row>
    <row r="16" customFormat="false" ht="15" hidden="false" customHeight="false" outlineLevel="0" collapsed="false">
      <c r="A16" s="16" t="n">
        <v>45825</v>
      </c>
      <c r="B16" s="12" t="s">
        <v>23</v>
      </c>
      <c r="C16" s="13" t="s">
        <v>338</v>
      </c>
      <c r="D16" s="12" t="s">
        <v>355</v>
      </c>
      <c r="E16" s="11" t="s">
        <v>19</v>
      </c>
      <c r="F16" s="12" t="s">
        <v>647</v>
      </c>
      <c r="G16" s="12" t="s">
        <v>662</v>
      </c>
    </row>
    <row r="17" customFormat="false" ht="15" hidden="false" customHeight="false" outlineLevel="0" collapsed="false">
      <c r="A17" s="16" t="n">
        <v>45826</v>
      </c>
      <c r="B17" s="12" t="s">
        <v>23</v>
      </c>
      <c r="C17" s="13" t="s">
        <v>300</v>
      </c>
      <c r="D17" s="12" t="s">
        <v>663</v>
      </c>
      <c r="E17" s="11" t="s">
        <v>664</v>
      </c>
      <c r="F17" s="12" t="s">
        <v>665</v>
      </c>
      <c r="G17" s="12" t="s">
        <v>666</v>
      </c>
    </row>
    <row r="18" customFormat="false" ht="15" hidden="false" customHeight="false" outlineLevel="0" collapsed="false">
      <c r="A18" s="16" t="n">
        <v>45828</v>
      </c>
      <c r="B18" s="12" t="s">
        <v>23</v>
      </c>
      <c r="C18" s="13" t="s">
        <v>318</v>
      </c>
      <c r="D18" s="12" t="s">
        <v>358</v>
      </c>
      <c r="E18" s="11" t="s">
        <v>19</v>
      </c>
      <c r="F18" s="12" t="s">
        <v>647</v>
      </c>
      <c r="G18" s="12" t="s">
        <v>667</v>
      </c>
    </row>
    <row r="19" customFormat="false" ht="15" hidden="false" customHeight="false" outlineLevel="0" collapsed="false">
      <c r="A19" s="16" t="n">
        <v>45833</v>
      </c>
      <c r="B19" s="12" t="s">
        <v>23</v>
      </c>
      <c r="C19" s="13" t="s">
        <v>346</v>
      </c>
      <c r="D19" s="12" t="s">
        <v>359</v>
      </c>
      <c r="E19" s="11" t="s">
        <v>19</v>
      </c>
      <c r="F19" s="12" t="s">
        <v>647</v>
      </c>
      <c r="G19" s="12" t="s">
        <v>668</v>
      </c>
    </row>
    <row r="20" customFormat="false" ht="15" hidden="false" customHeight="false" outlineLevel="0" collapsed="false">
      <c r="A20" s="16" t="n">
        <v>45833</v>
      </c>
      <c r="B20" s="12" t="s">
        <v>24</v>
      </c>
      <c r="C20" s="13" t="s">
        <v>411</v>
      </c>
      <c r="D20" s="12" t="s">
        <v>669</v>
      </c>
      <c r="E20" s="11" t="s">
        <v>664</v>
      </c>
      <c r="F20" s="12" t="s">
        <v>665</v>
      </c>
      <c r="G20" s="12" t="s">
        <v>670</v>
      </c>
    </row>
    <row r="21" customFormat="false" ht="15" hidden="false" customHeight="false" outlineLevel="0" collapsed="false">
      <c r="A21" s="16" t="n">
        <v>45835</v>
      </c>
      <c r="B21" s="12" t="s">
        <v>22</v>
      </c>
      <c r="C21" s="13" t="s">
        <v>111</v>
      </c>
      <c r="D21" s="12" t="s">
        <v>204</v>
      </c>
      <c r="E21" s="11" t="s">
        <v>20</v>
      </c>
      <c r="F21" s="12" t="s">
        <v>647</v>
      </c>
      <c r="G21" s="12" t="s">
        <v>671</v>
      </c>
    </row>
    <row r="22" customFormat="false" ht="15" hidden="false" customHeight="false" outlineLevel="0" collapsed="false">
      <c r="A22" s="16" t="n">
        <v>45835</v>
      </c>
      <c r="B22" s="12" t="s">
        <v>24</v>
      </c>
      <c r="C22" s="13" t="s">
        <v>528</v>
      </c>
      <c r="D22" s="12" t="s">
        <v>555</v>
      </c>
      <c r="E22" s="11" t="s">
        <v>19</v>
      </c>
      <c r="F22" s="12" t="s">
        <v>647</v>
      </c>
      <c r="G22" s="12" t="s">
        <v>672</v>
      </c>
    </row>
    <row r="23" customFormat="false" ht="15" hidden="false" customHeight="false" outlineLevel="0" collapsed="false">
      <c r="A23" s="16" t="n">
        <v>45839</v>
      </c>
      <c r="B23" s="12" t="s">
        <v>24</v>
      </c>
      <c r="C23" s="13" t="s">
        <v>488</v>
      </c>
      <c r="D23" s="12" t="s">
        <v>673</v>
      </c>
      <c r="E23" s="11" t="s">
        <v>664</v>
      </c>
      <c r="F23" s="12" t="s">
        <v>665</v>
      </c>
      <c r="G23" s="12" t="s">
        <v>674</v>
      </c>
    </row>
    <row r="24" customFormat="false" ht="15" hidden="false" customHeight="false" outlineLevel="0" collapsed="false">
      <c r="A24" s="16" t="n">
        <v>45840</v>
      </c>
      <c r="B24" s="12" t="s">
        <v>24</v>
      </c>
      <c r="C24" s="13" t="s">
        <v>465</v>
      </c>
      <c r="D24" s="12" t="s">
        <v>558</v>
      </c>
      <c r="E24" s="11" t="s">
        <v>19</v>
      </c>
      <c r="F24" s="12" t="s">
        <v>647</v>
      </c>
      <c r="G24" s="12" t="s">
        <v>675</v>
      </c>
    </row>
    <row r="25" customFormat="false" ht="15" hidden="false" customHeight="false" outlineLevel="0" collapsed="false">
      <c r="A25" s="16" t="n">
        <v>45843</v>
      </c>
      <c r="B25" s="12" t="s">
        <v>24</v>
      </c>
      <c r="C25" s="13" t="s">
        <v>518</v>
      </c>
      <c r="D25" s="12" t="s">
        <v>559</v>
      </c>
      <c r="E25" s="11" t="s">
        <v>20</v>
      </c>
      <c r="F25" s="12" t="s">
        <v>647</v>
      </c>
      <c r="G25" s="12" t="s">
        <v>676</v>
      </c>
    </row>
    <row r="26" customFormat="false" ht="15" hidden="false" customHeight="false" outlineLevel="0" collapsed="false">
      <c r="A26" s="16" t="n">
        <v>45844</v>
      </c>
      <c r="B26" s="12" t="s">
        <v>24</v>
      </c>
      <c r="C26" s="13" t="s">
        <v>412</v>
      </c>
      <c r="D26" s="12" t="s">
        <v>677</v>
      </c>
      <c r="E26" s="11" t="s">
        <v>678</v>
      </c>
      <c r="F26" s="12" t="s">
        <v>665</v>
      </c>
      <c r="G26" s="12" t="s">
        <v>679</v>
      </c>
    </row>
    <row r="27" customFormat="false" ht="15" hidden="false" customHeight="false" outlineLevel="0" collapsed="false">
      <c r="A27" s="16" t="n">
        <v>45846</v>
      </c>
      <c r="B27" s="12" t="s">
        <v>24</v>
      </c>
      <c r="C27" s="13" t="s">
        <v>495</v>
      </c>
      <c r="D27" s="12" t="s">
        <v>680</v>
      </c>
      <c r="E27" s="11" t="s">
        <v>664</v>
      </c>
      <c r="F27" s="12" t="s">
        <v>665</v>
      </c>
      <c r="G27" s="12" t="s">
        <v>681</v>
      </c>
    </row>
    <row r="28" customFormat="false" ht="15" hidden="false" customHeight="false" outlineLevel="0" collapsed="false">
      <c r="A28" s="16" t="n">
        <v>45847</v>
      </c>
      <c r="B28" s="12" t="s">
        <v>24</v>
      </c>
      <c r="C28" s="13" t="s">
        <v>466</v>
      </c>
      <c r="D28" s="12" t="s">
        <v>564</v>
      </c>
      <c r="E28" s="11" t="s">
        <v>20</v>
      </c>
      <c r="F28" s="12" t="s">
        <v>647</v>
      </c>
      <c r="G28" s="12" t="s">
        <v>682</v>
      </c>
    </row>
    <row r="29" customFormat="false" ht="15" hidden="false" customHeight="false" outlineLevel="0" collapsed="false">
      <c r="A29" s="16" t="n">
        <v>45856</v>
      </c>
      <c r="B29" s="12" t="s">
        <v>22</v>
      </c>
      <c r="C29" s="13" t="s">
        <v>139</v>
      </c>
      <c r="D29" s="12" t="s">
        <v>205</v>
      </c>
      <c r="E29" s="11" t="s">
        <v>19</v>
      </c>
      <c r="F29" s="12" t="s">
        <v>647</v>
      </c>
      <c r="G29" s="12" t="s">
        <v>683</v>
      </c>
    </row>
    <row r="30" customFormat="false" ht="15" hidden="false" customHeight="false" outlineLevel="0" collapsed="false">
      <c r="A30" s="16" t="n">
        <v>45857</v>
      </c>
      <c r="B30" s="12" t="s">
        <v>24</v>
      </c>
      <c r="C30" s="13" t="s">
        <v>470</v>
      </c>
      <c r="D30" s="12" t="s">
        <v>565</v>
      </c>
      <c r="E30" s="11" t="s">
        <v>20</v>
      </c>
      <c r="F30" s="12" t="s">
        <v>647</v>
      </c>
      <c r="G30" s="12" t="s">
        <v>684</v>
      </c>
    </row>
    <row r="31" customFormat="false" ht="15" hidden="false" customHeight="false" outlineLevel="0" collapsed="false">
      <c r="A31" s="16" t="n">
        <v>45859</v>
      </c>
      <c r="B31" s="12" t="s">
        <v>24</v>
      </c>
      <c r="C31" s="13" t="s">
        <v>548</v>
      </c>
      <c r="D31" s="12" t="s">
        <v>566</v>
      </c>
      <c r="E31" s="11" t="s">
        <v>19</v>
      </c>
      <c r="F31" s="12" t="s">
        <v>647</v>
      </c>
      <c r="G31" s="12" t="s">
        <v>685</v>
      </c>
    </row>
    <row r="32" customFormat="false" ht="15" hidden="false" customHeight="false" outlineLevel="0" collapsed="false">
      <c r="A32" s="16" t="n">
        <v>45861</v>
      </c>
      <c r="B32" s="12" t="s">
        <v>24</v>
      </c>
      <c r="C32" s="13" t="s">
        <v>522</v>
      </c>
      <c r="D32" s="12" t="s">
        <v>567</v>
      </c>
      <c r="E32" s="11" t="s">
        <v>19</v>
      </c>
      <c r="F32" s="12" t="s">
        <v>647</v>
      </c>
      <c r="G32" s="12" t="s">
        <v>686</v>
      </c>
    </row>
    <row r="33" customFormat="false" ht="15" hidden="false" customHeight="false" outlineLevel="0" collapsed="false">
      <c r="A33" s="16" t="n">
        <v>45865</v>
      </c>
      <c r="B33" s="12" t="s">
        <v>24</v>
      </c>
      <c r="C33" s="13" t="s">
        <v>526</v>
      </c>
      <c r="D33" s="12" t="s">
        <v>568</v>
      </c>
      <c r="E33" s="11" t="s">
        <v>19</v>
      </c>
      <c r="F33" s="12" t="s">
        <v>647</v>
      </c>
      <c r="G33" s="12" t="s">
        <v>687</v>
      </c>
    </row>
    <row r="34" customFormat="false" ht="15" hidden="false" customHeight="false" outlineLevel="0" collapsed="false">
      <c r="A34" s="16" t="n">
        <v>45880</v>
      </c>
      <c r="B34" s="12" t="s">
        <v>23</v>
      </c>
      <c r="C34" s="13" t="s">
        <v>282</v>
      </c>
      <c r="D34" s="12" t="s">
        <v>688</v>
      </c>
      <c r="E34" s="11" t="s">
        <v>678</v>
      </c>
      <c r="F34" s="12" t="s">
        <v>665</v>
      </c>
      <c r="G34" s="12" t="s">
        <v>689</v>
      </c>
    </row>
    <row r="35" customFormat="false" ht="15" hidden="false" customHeight="false" outlineLevel="0" collapsed="false">
      <c r="A35" s="16" t="n">
        <v>45883</v>
      </c>
      <c r="B35" s="12" t="s">
        <v>23</v>
      </c>
      <c r="C35" s="13" t="s">
        <v>336</v>
      </c>
      <c r="D35" s="12" t="s">
        <v>690</v>
      </c>
      <c r="E35" s="11" t="s">
        <v>678</v>
      </c>
      <c r="F35" s="12" t="s">
        <v>665</v>
      </c>
      <c r="G35" s="12" t="s">
        <v>691</v>
      </c>
    </row>
    <row r="36" customFormat="false" ht="15" hidden="false" customHeight="false" outlineLevel="0" collapsed="false">
      <c r="A36" s="16" t="n">
        <v>45883</v>
      </c>
      <c r="B36" s="12" t="s">
        <v>23</v>
      </c>
      <c r="C36" s="13" t="s">
        <v>326</v>
      </c>
      <c r="D36" s="12" t="s">
        <v>692</v>
      </c>
      <c r="E36" s="11" t="s">
        <v>678</v>
      </c>
      <c r="F36" s="12" t="s">
        <v>665</v>
      </c>
      <c r="G36" s="12" t="s">
        <v>691</v>
      </c>
    </row>
    <row r="37" customFormat="false" ht="15" hidden="false" customHeight="false" outlineLevel="0" collapsed="false">
      <c r="A37" s="16" t="n">
        <v>45883</v>
      </c>
      <c r="B37" s="12" t="s">
        <v>23</v>
      </c>
      <c r="C37" s="13" t="s">
        <v>321</v>
      </c>
      <c r="D37" s="12" t="s">
        <v>693</v>
      </c>
      <c r="E37" s="11" t="s">
        <v>694</v>
      </c>
      <c r="F37" s="12" t="s">
        <v>665</v>
      </c>
      <c r="G37" s="12" t="s">
        <v>691</v>
      </c>
    </row>
    <row r="38" customFormat="false" ht="15" hidden="false" customHeight="false" outlineLevel="0" collapsed="false">
      <c r="A38" s="16" t="n">
        <v>45884</v>
      </c>
      <c r="B38" s="12" t="s">
        <v>24</v>
      </c>
      <c r="C38" s="13" t="s">
        <v>504</v>
      </c>
      <c r="D38" s="12" t="s">
        <v>569</v>
      </c>
      <c r="E38" s="11" t="s">
        <v>19</v>
      </c>
      <c r="F38" s="12" t="s">
        <v>647</v>
      </c>
      <c r="G38" s="12" t="s">
        <v>695</v>
      </c>
    </row>
    <row r="39" customFormat="false" ht="15" hidden="false" customHeight="false" outlineLevel="0" collapsed="false">
      <c r="A39" s="16" t="n">
        <v>45885</v>
      </c>
      <c r="B39" s="12" t="s">
        <v>23</v>
      </c>
      <c r="C39" s="13" t="s">
        <v>317</v>
      </c>
      <c r="D39" s="12" t="s">
        <v>368</v>
      </c>
      <c r="E39" s="11" t="s">
        <v>20</v>
      </c>
      <c r="F39" s="12" t="s">
        <v>647</v>
      </c>
      <c r="G39" s="12" t="s">
        <v>696</v>
      </c>
    </row>
    <row r="40" customFormat="false" ht="15" hidden="false" customHeight="false" outlineLevel="0" collapsed="false">
      <c r="A40" s="16" t="n">
        <v>45894</v>
      </c>
      <c r="B40" s="12" t="s">
        <v>24</v>
      </c>
      <c r="C40" s="13" t="s">
        <v>492</v>
      </c>
      <c r="D40" s="12" t="s">
        <v>570</v>
      </c>
      <c r="E40" s="11" t="s">
        <v>19</v>
      </c>
      <c r="F40" s="12" t="s">
        <v>647</v>
      </c>
      <c r="G40" s="12" t="s">
        <v>697</v>
      </c>
    </row>
    <row r="41" customFormat="false" ht="15" hidden="false" customHeight="false" outlineLevel="0" collapsed="false">
      <c r="A41" s="16" t="n">
        <v>45895</v>
      </c>
      <c r="B41" s="12" t="s">
        <v>24</v>
      </c>
      <c r="C41" s="13" t="s">
        <v>483</v>
      </c>
      <c r="D41" s="12" t="s">
        <v>571</v>
      </c>
      <c r="E41" s="11" t="s">
        <v>19</v>
      </c>
      <c r="F41" s="12" t="s">
        <v>647</v>
      </c>
      <c r="G41" s="12" t="s">
        <v>698</v>
      </c>
    </row>
    <row r="42" customFormat="false" ht="15" hidden="false" customHeight="false" outlineLevel="0" collapsed="false">
      <c r="A42" s="16" t="n">
        <v>45901</v>
      </c>
      <c r="B42" s="12" t="s">
        <v>24</v>
      </c>
      <c r="C42" s="13" t="s">
        <v>489</v>
      </c>
      <c r="D42" s="12" t="s">
        <v>699</v>
      </c>
      <c r="E42" s="11" t="s">
        <v>678</v>
      </c>
      <c r="F42" s="12" t="s">
        <v>665</v>
      </c>
      <c r="G42" s="12" t="s">
        <v>700</v>
      </c>
    </row>
    <row r="43" customFormat="false" ht="15" hidden="false" customHeight="false" outlineLevel="0" collapsed="false">
      <c r="A43" s="16" t="n">
        <v>45901</v>
      </c>
      <c r="B43" s="12" t="s">
        <v>24</v>
      </c>
      <c r="C43" s="13" t="s">
        <v>517</v>
      </c>
      <c r="D43" s="12" t="s">
        <v>701</v>
      </c>
      <c r="E43" s="11" t="s">
        <v>694</v>
      </c>
      <c r="F43" s="12" t="s">
        <v>665</v>
      </c>
      <c r="G43" s="12" t="s">
        <v>700</v>
      </c>
    </row>
    <row r="44" customFormat="false" ht="15" hidden="false" customHeight="false" outlineLevel="0" collapsed="false">
      <c r="A44" s="16" t="n">
        <v>45901</v>
      </c>
      <c r="B44" s="12" t="s">
        <v>24</v>
      </c>
      <c r="C44" s="13" t="s">
        <v>459</v>
      </c>
      <c r="D44" s="12" t="s">
        <v>576</v>
      </c>
      <c r="E44" s="11" t="s">
        <v>20</v>
      </c>
      <c r="F44" s="12" t="s">
        <v>647</v>
      </c>
      <c r="G44" s="12" t="s">
        <v>700</v>
      </c>
    </row>
    <row r="45" customFormat="false" ht="15" hidden="false" customHeight="false" outlineLevel="0" collapsed="false">
      <c r="A45" s="16" t="n">
        <v>45912</v>
      </c>
      <c r="B45" s="12" t="s">
        <v>22</v>
      </c>
      <c r="C45" s="13" t="s">
        <v>127</v>
      </c>
      <c r="D45" s="12" t="s">
        <v>206</v>
      </c>
      <c r="E45" s="11" t="s">
        <v>20</v>
      </c>
      <c r="F45" s="12" t="s">
        <v>647</v>
      </c>
      <c r="G45" s="12" t="s">
        <v>702</v>
      </c>
    </row>
    <row r="46" customFormat="false" ht="15" hidden="false" customHeight="false" outlineLevel="0" collapsed="false">
      <c r="A46" s="16" t="n">
        <v>45915</v>
      </c>
      <c r="B46" s="12" t="s">
        <v>22</v>
      </c>
      <c r="C46" s="13" t="s">
        <v>151</v>
      </c>
      <c r="D46" s="12" t="s">
        <v>207</v>
      </c>
      <c r="E46" s="11" t="s">
        <v>19</v>
      </c>
      <c r="F46" s="12" t="s">
        <v>647</v>
      </c>
      <c r="G46" s="12" t="s">
        <v>703</v>
      </c>
    </row>
    <row r="47" customFormat="false" ht="15" hidden="false" customHeight="false" outlineLevel="0" collapsed="false">
      <c r="A47" s="16" t="n">
        <v>45939</v>
      </c>
      <c r="B47" s="12" t="s">
        <v>22</v>
      </c>
      <c r="C47" s="13" t="s">
        <v>123</v>
      </c>
      <c r="D47" s="12" t="s">
        <v>208</v>
      </c>
      <c r="E47" s="11" t="s">
        <v>19</v>
      </c>
      <c r="F47" s="12" t="s">
        <v>647</v>
      </c>
      <c r="G47" s="12" t="s">
        <v>704</v>
      </c>
    </row>
    <row r="48" customFormat="false" ht="15" hidden="false" customHeight="false" outlineLevel="0" collapsed="false">
      <c r="A48" s="16" t="n">
        <v>45941</v>
      </c>
      <c r="B48" s="12" t="s">
        <v>24</v>
      </c>
      <c r="C48" s="13" t="s">
        <v>484</v>
      </c>
      <c r="D48" s="12" t="s">
        <v>577</v>
      </c>
      <c r="E48" s="11" t="s">
        <v>19</v>
      </c>
      <c r="F48" s="12" t="s">
        <v>647</v>
      </c>
      <c r="G48" s="12" t="s">
        <v>705</v>
      </c>
    </row>
    <row r="49" customFormat="false" ht="15" hidden="false" customHeight="false" outlineLevel="0" collapsed="false">
      <c r="A49" s="16" t="n">
        <v>45955</v>
      </c>
      <c r="B49" s="12" t="s">
        <v>22</v>
      </c>
      <c r="C49" s="13" t="s">
        <v>141</v>
      </c>
      <c r="D49" s="12" t="s">
        <v>209</v>
      </c>
      <c r="E49" s="11" t="s">
        <v>19</v>
      </c>
      <c r="F49" s="12" t="s">
        <v>647</v>
      </c>
      <c r="G49" s="12" t="s">
        <v>706</v>
      </c>
    </row>
    <row r="50" customFormat="false" ht="15" hidden="false" customHeight="false" outlineLevel="0" collapsed="false">
      <c r="A50" s="16" t="n">
        <v>45966</v>
      </c>
      <c r="B50" s="12" t="s">
        <v>22</v>
      </c>
      <c r="C50" s="13" t="s">
        <v>104</v>
      </c>
      <c r="D50" s="12" t="s">
        <v>210</v>
      </c>
      <c r="E50" s="11" t="s">
        <v>20</v>
      </c>
      <c r="F50" s="12" t="s">
        <v>647</v>
      </c>
      <c r="G50" s="12" t="s">
        <v>707</v>
      </c>
    </row>
    <row r="51" customFormat="false" ht="15" hidden="false" customHeight="false" outlineLevel="0" collapsed="false">
      <c r="A51" s="16" t="n">
        <v>45968</v>
      </c>
      <c r="B51" s="12" t="s">
        <v>22</v>
      </c>
      <c r="C51" s="13" t="s">
        <v>112</v>
      </c>
      <c r="D51" s="12" t="s">
        <v>211</v>
      </c>
      <c r="E51" s="11" t="s">
        <v>19</v>
      </c>
      <c r="F51" s="12" t="s">
        <v>647</v>
      </c>
      <c r="G51" s="12" t="s">
        <v>708</v>
      </c>
    </row>
    <row r="52" customFormat="false" ht="15" hidden="false" customHeight="false" outlineLevel="0" collapsed="false">
      <c r="A52" s="16" t="n">
        <v>45968</v>
      </c>
      <c r="B52" s="12" t="s">
        <v>22</v>
      </c>
      <c r="C52" s="13" t="s">
        <v>60</v>
      </c>
      <c r="D52" s="12" t="s">
        <v>59</v>
      </c>
      <c r="E52" s="11" t="s">
        <v>20</v>
      </c>
      <c r="F52" s="12" t="s">
        <v>647</v>
      </c>
      <c r="G52" s="12" t="s">
        <v>708</v>
      </c>
    </row>
    <row r="53" customFormat="false" ht="15" hidden="false" customHeight="false" outlineLevel="0" collapsed="false">
      <c r="A53" s="16" t="n">
        <v>45969</v>
      </c>
      <c r="B53" s="12" t="s">
        <v>22</v>
      </c>
      <c r="C53" s="13" t="s">
        <v>57</v>
      </c>
      <c r="D53" s="12" t="s">
        <v>212</v>
      </c>
      <c r="E53" s="11" t="s">
        <v>20</v>
      </c>
      <c r="F53" s="12" t="s">
        <v>647</v>
      </c>
      <c r="G53" s="12" t="s">
        <v>709</v>
      </c>
    </row>
    <row r="54" customFormat="false" ht="15" hidden="false" customHeight="false" outlineLevel="0" collapsed="false">
      <c r="A54" s="16" t="n">
        <v>45975</v>
      </c>
      <c r="B54" s="12" t="s">
        <v>22</v>
      </c>
      <c r="C54" s="13" t="s">
        <v>147</v>
      </c>
      <c r="D54" s="12" t="s">
        <v>213</v>
      </c>
      <c r="E54" s="11" t="s">
        <v>20</v>
      </c>
      <c r="F54" s="12" t="s">
        <v>647</v>
      </c>
      <c r="G54" s="12" t="s">
        <v>710</v>
      </c>
    </row>
    <row r="55" customFormat="false" ht="15" hidden="false" customHeight="false" outlineLevel="0" collapsed="false">
      <c r="A55" s="16" t="n">
        <v>45976</v>
      </c>
      <c r="B55" s="12" t="s">
        <v>22</v>
      </c>
      <c r="C55" s="13" t="s">
        <v>68</v>
      </c>
      <c r="D55" s="12" t="s">
        <v>67</v>
      </c>
      <c r="E55" s="11" t="s">
        <v>19</v>
      </c>
      <c r="F55" s="12" t="s">
        <v>647</v>
      </c>
      <c r="G55" s="12" t="s">
        <v>711</v>
      </c>
    </row>
    <row r="56" customFormat="false" ht="15" hidden="false" customHeight="false" outlineLevel="0" collapsed="false">
      <c r="A56" s="16" t="n">
        <v>45979</v>
      </c>
      <c r="B56" s="12" t="s">
        <v>23</v>
      </c>
      <c r="C56" s="13" t="s">
        <v>327</v>
      </c>
      <c r="D56" s="12" t="s">
        <v>712</v>
      </c>
      <c r="E56" s="11" t="s">
        <v>694</v>
      </c>
      <c r="F56" s="12" t="s">
        <v>665</v>
      </c>
      <c r="G56" s="12" t="s">
        <v>713</v>
      </c>
    </row>
    <row r="57" customFormat="false" ht="15" hidden="false" customHeight="false" outlineLevel="0" collapsed="false">
      <c r="A57" s="16" t="n">
        <v>45984</v>
      </c>
      <c r="B57" s="12" t="s">
        <v>23</v>
      </c>
      <c r="C57" s="13" t="s">
        <v>320</v>
      </c>
      <c r="D57" s="12" t="s">
        <v>373</v>
      </c>
      <c r="E57" s="11" t="s">
        <v>20</v>
      </c>
      <c r="F57" s="12" t="s">
        <v>647</v>
      </c>
      <c r="G57" s="12" t="s">
        <v>714</v>
      </c>
    </row>
    <row r="58" customFormat="false" ht="15" hidden="false" customHeight="false" outlineLevel="0" collapsed="false">
      <c r="A58" s="16" t="n">
        <v>45985</v>
      </c>
      <c r="B58" s="12" t="s">
        <v>23</v>
      </c>
      <c r="C58" s="13" t="s">
        <v>285</v>
      </c>
      <c r="D58" s="12" t="s">
        <v>715</v>
      </c>
      <c r="E58" s="11" t="s">
        <v>664</v>
      </c>
      <c r="F58" s="12" t="s">
        <v>665</v>
      </c>
      <c r="G58" s="12" t="s">
        <v>716</v>
      </c>
    </row>
    <row r="59" customFormat="false" ht="15" hidden="false" customHeight="false" outlineLevel="0" collapsed="false">
      <c r="A59" s="16" t="n">
        <v>45986</v>
      </c>
      <c r="B59" s="12" t="s">
        <v>23</v>
      </c>
      <c r="C59" s="13" t="s">
        <v>313</v>
      </c>
      <c r="D59" s="12" t="s">
        <v>376</v>
      </c>
      <c r="E59" s="11" t="s">
        <v>19</v>
      </c>
      <c r="F59" s="12" t="s">
        <v>647</v>
      </c>
      <c r="G59" s="12" t="s">
        <v>717</v>
      </c>
    </row>
    <row r="60" customFormat="false" ht="15" hidden="false" customHeight="false" outlineLevel="0" collapsed="false">
      <c r="A60" s="16" t="n">
        <v>45992</v>
      </c>
      <c r="B60" s="12" t="s">
        <v>22</v>
      </c>
      <c r="C60" s="13" t="s">
        <v>142</v>
      </c>
      <c r="D60" s="12" t="s">
        <v>214</v>
      </c>
      <c r="E60" s="11" t="s">
        <v>19</v>
      </c>
      <c r="F60" s="12" t="s">
        <v>647</v>
      </c>
      <c r="G60" s="12" t="s">
        <v>718</v>
      </c>
    </row>
    <row r="61" customFormat="false" ht="15" hidden="false" customHeight="false" outlineLevel="0" collapsed="false">
      <c r="A61" s="16" t="n">
        <v>46000</v>
      </c>
      <c r="B61" s="12" t="s">
        <v>22</v>
      </c>
      <c r="C61" s="13" t="s">
        <v>119</v>
      </c>
      <c r="D61" s="12" t="s">
        <v>215</v>
      </c>
      <c r="E61" s="11" t="s">
        <v>19</v>
      </c>
      <c r="F61" s="12" t="s">
        <v>647</v>
      </c>
      <c r="G61" s="12" t="s">
        <v>719</v>
      </c>
    </row>
    <row r="62" customFormat="false" ht="15" hidden="false" customHeight="false" outlineLevel="0" collapsed="false">
      <c r="A62" s="16" t="n">
        <v>46008</v>
      </c>
      <c r="B62" s="12" t="s">
        <v>22</v>
      </c>
      <c r="C62" s="13" t="s">
        <v>149</v>
      </c>
      <c r="D62" s="12" t="s">
        <v>216</v>
      </c>
      <c r="E62" s="11" t="s">
        <v>19</v>
      </c>
      <c r="F62" s="12" t="s">
        <v>647</v>
      </c>
      <c r="G62" s="12" t="s">
        <v>720</v>
      </c>
    </row>
    <row r="63" customFormat="false" ht="15" hidden="false" customHeight="false" outlineLevel="0" collapsed="false">
      <c r="A63" s="16" t="n">
        <v>46019</v>
      </c>
      <c r="B63" s="12" t="s">
        <v>22</v>
      </c>
      <c r="C63" s="13" t="s">
        <v>65</v>
      </c>
      <c r="D63" s="12" t="s">
        <v>64</v>
      </c>
      <c r="E63" s="11" t="s">
        <v>19</v>
      </c>
      <c r="F63" s="12" t="s">
        <v>647</v>
      </c>
      <c r="G63" s="12" t="s">
        <v>721</v>
      </c>
    </row>
    <row r="64" customFormat="false" ht="15" hidden="false" customHeight="false" outlineLevel="0" collapsed="false">
      <c r="A64" s="16" t="n">
        <v>46031</v>
      </c>
      <c r="B64" s="12" t="s">
        <v>24</v>
      </c>
      <c r="C64" s="13" t="s">
        <v>518</v>
      </c>
      <c r="D64" s="12" t="s">
        <v>578</v>
      </c>
      <c r="E64" s="11" t="s">
        <v>20</v>
      </c>
      <c r="F64" s="12" t="s">
        <v>647</v>
      </c>
      <c r="G64" s="12" t="s">
        <v>722</v>
      </c>
    </row>
    <row r="65" customFormat="false" ht="15" hidden="false" customHeight="false" outlineLevel="0" collapsed="false">
      <c r="A65" s="16" t="n">
        <v>46033</v>
      </c>
      <c r="B65" s="12" t="s">
        <v>22</v>
      </c>
      <c r="C65" s="13" t="s">
        <v>148</v>
      </c>
      <c r="D65" s="12" t="s">
        <v>217</v>
      </c>
      <c r="E65" s="11" t="s">
        <v>19</v>
      </c>
      <c r="F65" s="12" t="s">
        <v>647</v>
      </c>
      <c r="G65" s="12" t="s">
        <v>723</v>
      </c>
    </row>
    <row r="66" customFormat="false" ht="15" hidden="false" customHeight="false" outlineLevel="0" collapsed="false">
      <c r="A66" s="16" t="n">
        <v>46039</v>
      </c>
      <c r="B66" s="12" t="s">
        <v>22</v>
      </c>
      <c r="C66" s="13" t="s">
        <v>52</v>
      </c>
      <c r="D66" s="12" t="s">
        <v>218</v>
      </c>
      <c r="E66" s="11" t="s">
        <v>19</v>
      </c>
      <c r="F66" s="12" t="s">
        <v>647</v>
      </c>
      <c r="G66" s="12" t="s">
        <v>724</v>
      </c>
    </row>
    <row r="67" customFormat="false" ht="15" hidden="false" customHeight="false" outlineLevel="0" collapsed="false">
      <c r="A67" s="16" t="n">
        <v>46039</v>
      </c>
      <c r="B67" s="12" t="s">
        <v>22</v>
      </c>
      <c r="C67" s="13" t="s">
        <v>125</v>
      </c>
      <c r="D67" s="12" t="s">
        <v>219</v>
      </c>
      <c r="E67" s="11" t="s">
        <v>20</v>
      </c>
      <c r="F67" s="12" t="s">
        <v>647</v>
      </c>
      <c r="G67" s="12" t="s">
        <v>724</v>
      </c>
    </row>
    <row r="68" customFormat="false" ht="15" hidden="false" customHeight="false" outlineLevel="0" collapsed="false">
      <c r="A68" s="16" t="n">
        <v>46049</v>
      </c>
      <c r="B68" s="12" t="s">
        <v>22</v>
      </c>
      <c r="C68" s="13" t="s">
        <v>140</v>
      </c>
      <c r="D68" s="12" t="s">
        <v>220</v>
      </c>
      <c r="E68" s="11" t="s">
        <v>19</v>
      </c>
      <c r="F68" s="12" t="s">
        <v>647</v>
      </c>
      <c r="G68" s="12" t="s">
        <v>725</v>
      </c>
    </row>
    <row r="69" customFormat="false" ht="15" hidden="false" customHeight="false" outlineLevel="0" collapsed="false">
      <c r="A69" s="16" t="n">
        <v>46059</v>
      </c>
      <c r="B69" s="12" t="s">
        <v>22</v>
      </c>
      <c r="C69" s="13" t="s">
        <v>39</v>
      </c>
      <c r="D69" s="12" t="s">
        <v>221</v>
      </c>
      <c r="E69" s="11" t="s">
        <v>19</v>
      </c>
      <c r="F69" s="12" t="s">
        <v>647</v>
      </c>
      <c r="G69" s="12" t="s">
        <v>726</v>
      </c>
    </row>
    <row r="70" customFormat="false" ht="15" hidden="false" customHeight="false" outlineLevel="0" collapsed="false">
      <c r="A70" s="16" t="n">
        <v>46061</v>
      </c>
      <c r="B70" s="12" t="s">
        <v>23</v>
      </c>
      <c r="C70" s="13" t="s">
        <v>296</v>
      </c>
      <c r="D70" s="12" t="s">
        <v>377</v>
      </c>
      <c r="E70" s="11" t="s">
        <v>20</v>
      </c>
      <c r="F70" s="12" t="s">
        <v>647</v>
      </c>
      <c r="G70" s="12" t="s">
        <v>727</v>
      </c>
    </row>
    <row r="71" customFormat="false" ht="15" hidden="false" customHeight="false" outlineLevel="0" collapsed="false">
      <c r="A71" s="16" t="n">
        <v>46069</v>
      </c>
      <c r="B71" s="12" t="s">
        <v>23</v>
      </c>
      <c r="C71" s="13" t="s">
        <v>348</v>
      </c>
      <c r="D71" s="12" t="s">
        <v>378</v>
      </c>
      <c r="E71" s="11" t="s">
        <v>19</v>
      </c>
      <c r="F71" s="12" t="s">
        <v>647</v>
      </c>
      <c r="G71" s="12" t="s">
        <v>728</v>
      </c>
    </row>
    <row r="72" customFormat="false" ht="15" hidden="false" customHeight="false" outlineLevel="0" collapsed="false">
      <c r="A72" s="16" t="n">
        <v>46072</v>
      </c>
      <c r="B72" s="12" t="s">
        <v>23</v>
      </c>
      <c r="C72" s="13" t="s">
        <v>336</v>
      </c>
      <c r="D72" s="12" t="s">
        <v>379</v>
      </c>
      <c r="E72" s="11" t="s">
        <v>19</v>
      </c>
      <c r="F72" s="12" t="s">
        <v>647</v>
      </c>
      <c r="G72" s="12" t="s">
        <v>729</v>
      </c>
    </row>
    <row r="73" customFormat="false" ht="15" hidden="false" customHeight="false" outlineLevel="0" collapsed="false">
      <c r="A73" s="16" t="n">
        <v>46075</v>
      </c>
      <c r="B73" s="12" t="s">
        <v>23</v>
      </c>
      <c r="C73" s="13" t="s">
        <v>325</v>
      </c>
      <c r="D73" s="12" t="s">
        <v>730</v>
      </c>
      <c r="E73" s="11" t="s">
        <v>694</v>
      </c>
      <c r="F73" s="12" t="s">
        <v>665</v>
      </c>
      <c r="G73" s="12" t="s">
        <v>731</v>
      </c>
    </row>
    <row r="74" customFormat="false" ht="15" hidden="false" customHeight="false" outlineLevel="0" collapsed="false">
      <c r="A74" s="16" t="n">
        <v>46076</v>
      </c>
      <c r="B74" s="12" t="s">
        <v>23</v>
      </c>
      <c r="C74" s="13" t="s">
        <v>291</v>
      </c>
      <c r="D74" s="12" t="s">
        <v>732</v>
      </c>
      <c r="E74" s="11" t="s">
        <v>664</v>
      </c>
      <c r="F74" s="12" t="s">
        <v>665</v>
      </c>
      <c r="G74" s="12" t="s">
        <v>733</v>
      </c>
    </row>
    <row r="75" customFormat="false" ht="15" hidden="false" customHeight="false" outlineLevel="0" collapsed="false">
      <c r="A75" s="16" t="n">
        <v>46080</v>
      </c>
      <c r="B75" s="12" t="s">
        <v>24</v>
      </c>
      <c r="C75" s="13" t="s">
        <v>522</v>
      </c>
      <c r="D75" s="12" t="s">
        <v>580</v>
      </c>
      <c r="E75" s="11" t="s">
        <v>19</v>
      </c>
      <c r="F75" s="12" t="s">
        <v>647</v>
      </c>
      <c r="G75" s="12" t="s">
        <v>734</v>
      </c>
    </row>
    <row r="76" customFormat="false" ht="15" hidden="false" customHeight="false" outlineLevel="0" collapsed="false">
      <c r="A76" s="16" t="n">
        <v>46086</v>
      </c>
      <c r="B76" s="12" t="s">
        <v>24</v>
      </c>
      <c r="C76" s="13" t="s">
        <v>579</v>
      </c>
      <c r="D76" s="12" t="s">
        <v>735</v>
      </c>
      <c r="E76" s="11" t="s">
        <v>664</v>
      </c>
      <c r="F76" s="12" t="s">
        <v>665</v>
      </c>
      <c r="G76" s="12" t="s">
        <v>736</v>
      </c>
    </row>
    <row r="77" customFormat="false" ht="15" hidden="false" customHeight="false" outlineLevel="0" collapsed="false">
      <c r="A77" s="16" t="n">
        <v>46087</v>
      </c>
      <c r="B77" s="12" t="s">
        <v>22</v>
      </c>
      <c r="C77" s="13" t="s">
        <v>121</v>
      </c>
      <c r="D77" s="12" t="s">
        <v>222</v>
      </c>
      <c r="E77" s="11" t="s">
        <v>19</v>
      </c>
      <c r="F77" s="12" t="s">
        <v>647</v>
      </c>
      <c r="G77" s="12" t="s">
        <v>737</v>
      </c>
    </row>
    <row r="78" customFormat="false" ht="15" hidden="false" customHeight="false" outlineLevel="0" collapsed="false">
      <c r="A78" s="16" t="n">
        <v>46090</v>
      </c>
      <c r="B78" s="12" t="s">
        <v>24</v>
      </c>
      <c r="C78" s="13" t="s">
        <v>415</v>
      </c>
      <c r="D78" s="12" t="s">
        <v>583</v>
      </c>
      <c r="E78" s="11" t="s">
        <v>19</v>
      </c>
      <c r="F78" s="12" t="s">
        <v>647</v>
      </c>
      <c r="G78" s="12" t="s">
        <v>738</v>
      </c>
    </row>
    <row r="79" customFormat="false" ht="15" hidden="false" customHeight="false" outlineLevel="0" collapsed="false">
      <c r="A79" s="16" t="n">
        <v>46095</v>
      </c>
      <c r="B79" s="12" t="s">
        <v>24</v>
      </c>
      <c r="C79" s="13" t="s">
        <v>550</v>
      </c>
      <c r="D79" s="12" t="s">
        <v>584</v>
      </c>
      <c r="E79" s="11" t="s">
        <v>19</v>
      </c>
      <c r="F79" s="12" t="s">
        <v>647</v>
      </c>
      <c r="G79" s="12" t="s">
        <v>739</v>
      </c>
    </row>
    <row r="80" customFormat="false" ht="15" hidden="false" customHeight="false" outlineLevel="0" collapsed="false">
      <c r="A80" s="16" t="n">
        <v>46097</v>
      </c>
      <c r="B80" s="12" t="s">
        <v>22</v>
      </c>
      <c r="C80" s="13" t="s">
        <v>115</v>
      </c>
      <c r="D80" s="12" t="s">
        <v>223</v>
      </c>
      <c r="E80" s="11" t="s">
        <v>20</v>
      </c>
      <c r="F80" s="12" t="s">
        <v>647</v>
      </c>
      <c r="G80" s="12" t="s">
        <v>740</v>
      </c>
    </row>
    <row r="81" customFormat="false" ht="15" hidden="false" customHeight="false" outlineLevel="0" collapsed="false">
      <c r="A81" s="16" t="n">
        <v>46097</v>
      </c>
      <c r="B81" s="12" t="s">
        <v>24</v>
      </c>
      <c r="C81" s="13" t="s">
        <v>506</v>
      </c>
      <c r="D81" s="12" t="s">
        <v>585</v>
      </c>
      <c r="E81" s="11" t="s">
        <v>20</v>
      </c>
      <c r="F81" s="12" t="s">
        <v>647</v>
      </c>
      <c r="G81" s="12" t="s">
        <v>741</v>
      </c>
    </row>
    <row r="82" customFormat="false" ht="15" hidden="false" customHeight="false" outlineLevel="0" collapsed="false">
      <c r="A82" s="16" t="n">
        <v>46103</v>
      </c>
      <c r="B82" s="12" t="s">
        <v>24</v>
      </c>
      <c r="C82" s="13" t="s">
        <v>520</v>
      </c>
      <c r="D82" s="12" t="s">
        <v>586</v>
      </c>
      <c r="E82" s="11" t="s">
        <v>19</v>
      </c>
      <c r="F82" s="12" t="s">
        <v>647</v>
      </c>
      <c r="G82" s="12" t="s">
        <v>742</v>
      </c>
    </row>
    <row r="83" customFormat="false" ht="15" hidden="false" customHeight="false" outlineLevel="0" collapsed="false">
      <c r="A83" s="16" t="n">
        <v>46114</v>
      </c>
      <c r="B83" s="12" t="s">
        <v>24</v>
      </c>
      <c r="C83" s="13" t="s">
        <v>547</v>
      </c>
      <c r="D83" s="12" t="s">
        <v>587</v>
      </c>
      <c r="E83" s="11" t="s">
        <v>20</v>
      </c>
      <c r="F83" s="12" t="s">
        <v>647</v>
      </c>
      <c r="G83" s="12" t="s">
        <v>743</v>
      </c>
    </row>
    <row r="84" customFormat="false" ht="15" hidden="false" customHeight="false" outlineLevel="0" collapsed="false">
      <c r="A84" s="16" t="n">
        <v>46115</v>
      </c>
      <c r="B84" s="12" t="s">
        <v>24</v>
      </c>
      <c r="C84" s="13" t="s">
        <v>484</v>
      </c>
      <c r="D84" s="12" t="s">
        <v>588</v>
      </c>
      <c r="E84" s="11" t="s">
        <v>20</v>
      </c>
      <c r="F84" s="12" t="s">
        <v>647</v>
      </c>
      <c r="G84" s="12" t="s">
        <v>744</v>
      </c>
    </row>
    <row r="85" customFormat="false" ht="15" hidden="false" customHeight="false" outlineLevel="0" collapsed="false">
      <c r="A85" s="16" t="n">
        <v>46117</v>
      </c>
      <c r="B85" s="12" t="s">
        <v>24</v>
      </c>
      <c r="C85" s="13" t="s">
        <v>502</v>
      </c>
      <c r="D85" s="12" t="s">
        <v>589</v>
      </c>
      <c r="E85" s="11" t="s">
        <v>20</v>
      </c>
      <c r="F85" s="12" t="s">
        <v>647</v>
      </c>
      <c r="G85" s="12" t="s">
        <v>745</v>
      </c>
    </row>
    <row r="86" customFormat="false" ht="15" hidden="false" customHeight="false" outlineLevel="0" collapsed="false">
      <c r="A86" s="16" t="n">
        <v>46119</v>
      </c>
      <c r="B86" s="12" t="s">
        <v>22</v>
      </c>
      <c r="C86" s="13" t="s">
        <v>133</v>
      </c>
      <c r="D86" s="12" t="s">
        <v>226</v>
      </c>
      <c r="E86" s="11" t="s">
        <v>19</v>
      </c>
      <c r="F86" s="12" t="s">
        <v>647</v>
      </c>
      <c r="G86" s="12" t="s">
        <v>746</v>
      </c>
    </row>
    <row r="87" customFormat="false" ht="15" hidden="false" customHeight="false" outlineLevel="0" collapsed="false">
      <c r="A87" s="16" t="n">
        <v>46119</v>
      </c>
      <c r="B87" s="12" t="s">
        <v>24</v>
      </c>
      <c r="C87" s="13" t="s">
        <v>512</v>
      </c>
      <c r="D87" s="12" t="s">
        <v>747</v>
      </c>
      <c r="E87" s="11" t="s">
        <v>664</v>
      </c>
      <c r="F87" s="12" t="s">
        <v>665</v>
      </c>
      <c r="G87" s="12" t="s">
        <v>748</v>
      </c>
    </row>
    <row r="88" customFormat="false" ht="15" hidden="false" customHeight="false" outlineLevel="0" collapsed="false">
      <c r="A88" s="16" t="n">
        <v>46120</v>
      </c>
      <c r="B88" s="12" t="s">
        <v>24</v>
      </c>
      <c r="C88" s="13" t="s">
        <v>489</v>
      </c>
      <c r="D88" s="12" t="s">
        <v>749</v>
      </c>
      <c r="E88" s="11" t="s">
        <v>664</v>
      </c>
      <c r="F88" s="12" t="s">
        <v>665</v>
      </c>
      <c r="G88" s="12" t="s">
        <v>750</v>
      </c>
    </row>
    <row r="89" customFormat="false" ht="15" hidden="false" customHeight="false" outlineLevel="0" collapsed="false">
      <c r="A89" s="16" t="n">
        <v>46122</v>
      </c>
      <c r="B89" s="12" t="s">
        <v>24</v>
      </c>
      <c r="C89" s="13" t="s">
        <v>471</v>
      </c>
      <c r="D89" s="12" t="s">
        <v>594</v>
      </c>
      <c r="E89" s="11" t="s">
        <v>19</v>
      </c>
      <c r="F89" s="12" t="s">
        <v>647</v>
      </c>
      <c r="G89" s="12" t="s">
        <v>751</v>
      </c>
    </row>
    <row r="90" customFormat="false" ht="15" hidden="false" customHeight="false" outlineLevel="0" collapsed="false">
      <c r="A90" s="16" t="n">
        <v>46123</v>
      </c>
      <c r="B90" s="12" t="s">
        <v>24</v>
      </c>
      <c r="C90" s="13" t="s">
        <v>552</v>
      </c>
      <c r="D90" s="12" t="s">
        <v>595</v>
      </c>
      <c r="E90" s="11" t="s">
        <v>20</v>
      </c>
      <c r="F90" s="12" t="s">
        <v>647</v>
      </c>
      <c r="G90" s="12" t="s">
        <v>752</v>
      </c>
    </row>
    <row r="91" customFormat="false" ht="15" hidden="false" customHeight="false" outlineLevel="0" collapsed="false">
      <c r="A91" s="16" t="n">
        <v>46124</v>
      </c>
      <c r="B91" s="12" t="s">
        <v>24</v>
      </c>
      <c r="C91" s="13" t="s">
        <v>510</v>
      </c>
      <c r="D91" s="12" t="s">
        <v>596</v>
      </c>
      <c r="E91" s="11" t="s">
        <v>19</v>
      </c>
      <c r="F91" s="12" t="s">
        <v>647</v>
      </c>
      <c r="G91" s="12" t="s">
        <v>753</v>
      </c>
    </row>
    <row r="92" customFormat="false" ht="15" hidden="false" customHeight="false" outlineLevel="0" collapsed="false">
      <c r="A92" s="16" t="n">
        <v>46125</v>
      </c>
      <c r="B92" s="12" t="s">
        <v>24</v>
      </c>
      <c r="C92" s="13" t="s">
        <v>527</v>
      </c>
      <c r="D92" s="12" t="s">
        <v>597</v>
      </c>
      <c r="E92" s="11" t="s">
        <v>20</v>
      </c>
      <c r="F92" s="12" t="s">
        <v>647</v>
      </c>
      <c r="G92" s="12" t="s">
        <v>754</v>
      </c>
    </row>
    <row r="93" customFormat="false" ht="15" hidden="false" customHeight="false" outlineLevel="0" collapsed="false">
      <c r="A93" s="16" t="n">
        <v>46126</v>
      </c>
      <c r="B93" s="12" t="s">
        <v>24</v>
      </c>
      <c r="C93" s="13" t="s">
        <v>499</v>
      </c>
      <c r="D93" s="12" t="s">
        <v>598</v>
      </c>
      <c r="E93" s="11" t="s">
        <v>20</v>
      </c>
      <c r="F93" s="12" t="s">
        <v>647</v>
      </c>
      <c r="G93" s="12" t="s">
        <v>755</v>
      </c>
    </row>
    <row r="94" customFormat="false" ht="15" hidden="false" customHeight="false" outlineLevel="0" collapsed="false">
      <c r="A94" s="16" t="n">
        <v>46130</v>
      </c>
      <c r="B94" s="12" t="s">
        <v>24</v>
      </c>
      <c r="C94" s="13" t="s">
        <v>414</v>
      </c>
      <c r="D94" s="12" t="s">
        <v>756</v>
      </c>
      <c r="E94" s="11" t="s">
        <v>678</v>
      </c>
      <c r="F94" s="12" t="s">
        <v>665</v>
      </c>
      <c r="G94" s="12" t="s">
        <v>757</v>
      </c>
    </row>
    <row r="95" customFormat="false" ht="15" hidden="false" customHeight="false" outlineLevel="0" collapsed="false">
      <c r="A95" s="16" t="n">
        <v>46130</v>
      </c>
      <c r="B95" s="12" t="s">
        <v>24</v>
      </c>
      <c r="C95" s="13" t="s">
        <v>457</v>
      </c>
      <c r="D95" s="12" t="s">
        <v>758</v>
      </c>
      <c r="E95" s="11" t="s">
        <v>664</v>
      </c>
      <c r="F95" s="12" t="s">
        <v>665</v>
      </c>
      <c r="G95" s="12" t="s">
        <v>757</v>
      </c>
    </row>
    <row r="96" customFormat="false" ht="15" hidden="false" customHeight="false" outlineLevel="0" collapsed="false">
      <c r="A96" s="16" t="n">
        <v>46134</v>
      </c>
      <c r="B96" s="12" t="s">
        <v>24</v>
      </c>
      <c r="C96" s="13" t="s">
        <v>524</v>
      </c>
      <c r="D96" s="12" t="s">
        <v>602</v>
      </c>
      <c r="E96" s="11" t="s">
        <v>20</v>
      </c>
      <c r="F96" s="12" t="s">
        <v>647</v>
      </c>
      <c r="G96" s="12" t="s">
        <v>759</v>
      </c>
    </row>
    <row r="97" customFormat="false" ht="15" hidden="false" customHeight="false" outlineLevel="0" collapsed="false">
      <c r="A97" s="16" t="n">
        <v>46136</v>
      </c>
      <c r="B97" s="12" t="s">
        <v>24</v>
      </c>
      <c r="C97" s="13" t="s">
        <v>485</v>
      </c>
      <c r="D97" s="12" t="s">
        <v>603</v>
      </c>
      <c r="E97" s="11" t="s">
        <v>19</v>
      </c>
      <c r="F97" s="12" t="s">
        <v>647</v>
      </c>
      <c r="G97" s="12" t="s">
        <v>760</v>
      </c>
    </row>
    <row r="98" customFormat="false" ht="15" hidden="false" customHeight="false" outlineLevel="0" collapsed="false">
      <c r="A98" s="16" t="n">
        <v>46138</v>
      </c>
      <c r="B98" s="12" t="s">
        <v>24</v>
      </c>
      <c r="C98" s="13" t="s">
        <v>456</v>
      </c>
      <c r="D98" s="12" t="s">
        <v>604</v>
      </c>
      <c r="E98" s="11" t="s">
        <v>20</v>
      </c>
      <c r="F98" s="12" t="s">
        <v>647</v>
      </c>
      <c r="G98" s="12" t="s">
        <v>761</v>
      </c>
    </row>
    <row r="99" customFormat="false" ht="15" hidden="false" customHeight="false" outlineLevel="0" collapsed="false">
      <c r="A99" s="16" t="n">
        <v>46140</v>
      </c>
      <c r="B99" s="12" t="s">
        <v>24</v>
      </c>
      <c r="C99" s="13" t="s">
        <v>535</v>
      </c>
      <c r="D99" s="12" t="s">
        <v>762</v>
      </c>
      <c r="E99" s="11" t="s">
        <v>664</v>
      </c>
      <c r="F99" s="12" t="s">
        <v>665</v>
      </c>
      <c r="G99" s="12" t="s">
        <v>763</v>
      </c>
    </row>
    <row r="100" customFormat="false" ht="15" hidden="false" customHeight="false" outlineLevel="0" collapsed="false">
      <c r="A100" s="16" t="n">
        <v>46142</v>
      </c>
      <c r="B100" s="12" t="s">
        <v>22</v>
      </c>
      <c r="C100" s="13" t="s">
        <v>144</v>
      </c>
      <c r="D100" s="12" t="s">
        <v>227</v>
      </c>
      <c r="E100" s="11" t="s">
        <v>19</v>
      </c>
      <c r="F100" s="12" t="s">
        <v>647</v>
      </c>
      <c r="G100" s="12" t="s">
        <v>764</v>
      </c>
    </row>
    <row r="101" customFormat="false" ht="15" hidden="false" customHeight="false" outlineLevel="0" collapsed="false">
      <c r="A101" s="16" t="n">
        <v>46145</v>
      </c>
      <c r="B101" s="12" t="s">
        <v>24</v>
      </c>
      <c r="C101" s="13" t="s">
        <v>479</v>
      </c>
      <c r="D101" s="12" t="s">
        <v>765</v>
      </c>
      <c r="E101" s="11" t="s">
        <v>664</v>
      </c>
      <c r="F101" s="12" t="s">
        <v>665</v>
      </c>
      <c r="G101" s="12" t="s">
        <v>766</v>
      </c>
    </row>
    <row r="102" customFormat="false" ht="15" hidden="false" customHeight="false" outlineLevel="0" collapsed="false">
      <c r="A102" s="16" t="n">
        <v>46152</v>
      </c>
      <c r="B102" s="12" t="s">
        <v>24</v>
      </c>
      <c r="C102" s="13" t="s">
        <v>544</v>
      </c>
      <c r="D102" s="12" t="s">
        <v>609</v>
      </c>
      <c r="E102" s="11" t="s">
        <v>19</v>
      </c>
      <c r="F102" s="12" t="s">
        <v>647</v>
      </c>
      <c r="G102" s="12" t="s">
        <v>767</v>
      </c>
    </row>
    <row r="103" customFormat="false" ht="15" hidden="false" customHeight="false" outlineLevel="0" collapsed="false">
      <c r="A103" s="16" t="n">
        <v>46154</v>
      </c>
      <c r="B103" s="12" t="s">
        <v>24</v>
      </c>
      <c r="C103" s="13" t="s">
        <v>513</v>
      </c>
      <c r="D103" s="12" t="s">
        <v>768</v>
      </c>
      <c r="E103" s="11" t="s">
        <v>678</v>
      </c>
      <c r="F103" s="12" t="s">
        <v>665</v>
      </c>
      <c r="G103" s="12" t="s">
        <v>769</v>
      </c>
    </row>
    <row r="104" customFormat="false" ht="15" hidden="false" customHeight="false" outlineLevel="0" collapsed="false">
      <c r="A104" s="16" t="n">
        <v>46154</v>
      </c>
      <c r="B104" s="12" t="s">
        <v>24</v>
      </c>
      <c r="C104" s="13" t="s">
        <v>472</v>
      </c>
      <c r="D104" s="12" t="s">
        <v>612</v>
      </c>
      <c r="E104" s="11" t="s">
        <v>20</v>
      </c>
      <c r="F104" s="12" t="s">
        <v>647</v>
      </c>
      <c r="G104" s="12" t="s">
        <v>769</v>
      </c>
    </row>
    <row r="105" customFormat="false" ht="15" hidden="false" customHeight="false" outlineLevel="0" collapsed="false">
      <c r="A105" s="16" t="n">
        <v>46155</v>
      </c>
      <c r="B105" s="12" t="s">
        <v>24</v>
      </c>
      <c r="C105" s="13" t="s">
        <v>497</v>
      </c>
      <c r="D105" s="12" t="s">
        <v>613</v>
      </c>
      <c r="E105" s="11" t="s">
        <v>19</v>
      </c>
      <c r="F105" s="12" t="s">
        <v>647</v>
      </c>
      <c r="G105" s="12" t="s">
        <v>770</v>
      </c>
    </row>
    <row r="106" customFormat="false" ht="15" hidden="false" customHeight="false" outlineLevel="0" collapsed="false">
      <c r="A106" s="16" t="n">
        <v>46156</v>
      </c>
      <c r="B106" s="12" t="s">
        <v>24</v>
      </c>
      <c r="C106" s="13" t="s">
        <v>501</v>
      </c>
      <c r="D106" s="12" t="s">
        <v>614</v>
      </c>
      <c r="E106" s="11" t="s">
        <v>20</v>
      </c>
      <c r="F106" s="12" t="s">
        <v>647</v>
      </c>
      <c r="G106" s="12" t="s">
        <v>771</v>
      </c>
    </row>
    <row r="107" customFormat="false" ht="15" hidden="false" customHeight="false" outlineLevel="0" collapsed="false">
      <c r="A107" s="16" t="n">
        <v>46157</v>
      </c>
      <c r="B107" s="12" t="s">
        <v>24</v>
      </c>
      <c r="C107" s="13" t="s">
        <v>531</v>
      </c>
      <c r="D107" s="12" t="s">
        <v>615</v>
      </c>
      <c r="E107" s="11" t="s">
        <v>20</v>
      </c>
      <c r="F107" s="12" t="s">
        <v>647</v>
      </c>
      <c r="G107" s="12" t="s">
        <v>772</v>
      </c>
    </row>
    <row r="108" customFormat="false" ht="15" hidden="false" customHeight="false" outlineLevel="0" collapsed="false">
      <c r="A108" s="16" t="n">
        <v>46159</v>
      </c>
      <c r="B108" s="12" t="s">
        <v>24</v>
      </c>
      <c r="C108" s="13" t="s">
        <v>486</v>
      </c>
      <c r="D108" s="12" t="s">
        <v>773</v>
      </c>
      <c r="E108" s="11" t="s">
        <v>678</v>
      </c>
      <c r="F108" s="12" t="s">
        <v>665</v>
      </c>
      <c r="G108" s="12" t="s">
        <v>774</v>
      </c>
    </row>
    <row r="109" customFormat="false" ht="15" hidden="false" customHeight="false" outlineLevel="0" collapsed="false">
      <c r="A109" s="16" t="n">
        <v>46160</v>
      </c>
      <c r="B109" s="12" t="s">
        <v>22</v>
      </c>
      <c r="C109" s="13" t="s">
        <v>131</v>
      </c>
      <c r="D109" s="12" t="s">
        <v>228</v>
      </c>
      <c r="E109" s="11" t="s">
        <v>20</v>
      </c>
      <c r="F109" s="12" t="s">
        <v>647</v>
      </c>
      <c r="G109" s="12" t="s">
        <v>775</v>
      </c>
    </row>
    <row r="110" customFormat="false" ht="15" hidden="false" customHeight="false" outlineLevel="0" collapsed="false">
      <c r="A110" s="16" t="n">
        <v>46161</v>
      </c>
      <c r="B110" s="12" t="s">
        <v>24</v>
      </c>
      <c r="C110" s="13" t="s">
        <v>516</v>
      </c>
      <c r="D110" s="12" t="s">
        <v>618</v>
      </c>
      <c r="E110" s="11" t="s">
        <v>20</v>
      </c>
      <c r="F110" s="12" t="s">
        <v>647</v>
      </c>
      <c r="G110" s="12" t="s">
        <v>776</v>
      </c>
    </row>
    <row r="111" customFormat="false" ht="15" hidden="false" customHeight="false" outlineLevel="0" collapsed="false">
      <c r="A111" s="16" t="n">
        <v>46167</v>
      </c>
      <c r="B111" s="12" t="s">
        <v>22</v>
      </c>
      <c r="C111" s="13" t="s">
        <v>114</v>
      </c>
      <c r="D111" s="12" t="s">
        <v>229</v>
      </c>
      <c r="E111" s="11" t="s">
        <v>20</v>
      </c>
      <c r="F111" s="12" t="s">
        <v>647</v>
      </c>
      <c r="G111" s="12" t="s">
        <v>777</v>
      </c>
    </row>
    <row r="112" customFormat="false" ht="15" hidden="false" customHeight="false" outlineLevel="0" collapsed="false">
      <c r="A112" s="16" t="n">
        <v>46175</v>
      </c>
      <c r="B112" s="12" t="s">
        <v>22</v>
      </c>
      <c r="C112" s="13" t="s">
        <v>130</v>
      </c>
      <c r="D112" s="12" t="s">
        <v>230</v>
      </c>
      <c r="E112" s="11" t="s">
        <v>19</v>
      </c>
      <c r="F112" s="12" t="s">
        <v>647</v>
      </c>
      <c r="G112" s="12" t="s">
        <v>778</v>
      </c>
    </row>
    <row r="113" customFormat="false" ht="15" hidden="false" customHeight="false" outlineLevel="0" collapsed="false">
      <c r="A113" s="16" t="n">
        <v>46188</v>
      </c>
      <c r="B113" s="12" t="s">
        <v>24</v>
      </c>
      <c r="C113" s="13" t="s">
        <v>518</v>
      </c>
      <c r="D113" s="12" t="s">
        <v>619</v>
      </c>
      <c r="E113" s="11" t="s">
        <v>20</v>
      </c>
      <c r="F113" s="12" t="s">
        <v>647</v>
      </c>
      <c r="G113" s="12" t="s">
        <v>779</v>
      </c>
    </row>
    <row r="114" customFormat="false" ht="15" hidden="false" customHeight="false" outlineLevel="0" collapsed="false">
      <c r="A114" s="16" t="n">
        <v>46189</v>
      </c>
      <c r="B114" s="12" t="s">
        <v>24</v>
      </c>
      <c r="C114" s="13" t="s">
        <v>460</v>
      </c>
      <c r="D114" s="12" t="s">
        <v>620</v>
      </c>
      <c r="E114" s="11" t="s">
        <v>20</v>
      </c>
      <c r="F114" s="12" t="s">
        <v>647</v>
      </c>
      <c r="G114" s="12" t="s">
        <v>780</v>
      </c>
    </row>
    <row r="115" customFormat="false" ht="15" hidden="false" customHeight="false" outlineLevel="0" collapsed="false">
      <c r="A115" s="16" t="n">
        <v>46195</v>
      </c>
      <c r="B115" s="12" t="s">
        <v>23</v>
      </c>
      <c r="C115" s="13" t="s">
        <v>324</v>
      </c>
      <c r="D115" s="12" t="s">
        <v>781</v>
      </c>
      <c r="E115" s="11" t="s">
        <v>664</v>
      </c>
      <c r="F115" s="12" t="s">
        <v>665</v>
      </c>
      <c r="G115" s="12" t="s">
        <v>782</v>
      </c>
    </row>
    <row r="116" customFormat="false" ht="15" hidden="false" customHeight="false" outlineLevel="0" collapsed="false">
      <c r="A116" s="16" t="n">
        <v>46195</v>
      </c>
      <c r="B116" s="12" t="s">
        <v>24</v>
      </c>
      <c r="C116" s="13" t="s">
        <v>458</v>
      </c>
      <c r="D116" s="12" t="s">
        <v>621</v>
      </c>
      <c r="E116" s="11" t="s">
        <v>20</v>
      </c>
      <c r="F116" s="12" t="s">
        <v>647</v>
      </c>
      <c r="G116" s="12" t="s">
        <v>783</v>
      </c>
    </row>
    <row r="117" customFormat="false" ht="15" hidden="false" customHeight="false" outlineLevel="0" collapsed="false">
      <c r="A117" s="16" t="n">
        <v>46196</v>
      </c>
      <c r="B117" s="12" t="s">
        <v>23</v>
      </c>
      <c r="C117" s="13" t="s">
        <v>316</v>
      </c>
      <c r="D117" s="12" t="s">
        <v>386</v>
      </c>
      <c r="E117" s="11" t="s">
        <v>19</v>
      </c>
      <c r="F117" s="12" t="s">
        <v>647</v>
      </c>
      <c r="G117" s="12" t="s">
        <v>784</v>
      </c>
    </row>
    <row r="118" customFormat="false" ht="15" hidden="false" customHeight="false" outlineLevel="0" collapsed="false">
      <c r="A118" s="16" t="n">
        <v>46196</v>
      </c>
      <c r="B118" s="12" t="s">
        <v>24</v>
      </c>
      <c r="C118" s="13" t="s">
        <v>467</v>
      </c>
      <c r="D118" s="12" t="s">
        <v>622</v>
      </c>
      <c r="E118" s="11" t="s">
        <v>20</v>
      </c>
      <c r="F118" s="12" t="s">
        <v>647</v>
      </c>
      <c r="G118" s="12" t="s">
        <v>785</v>
      </c>
    </row>
    <row r="119" customFormat="false" ht="15" hidden="false" customHeight="false" outlineLevel="0" collapsed="false">
      <c r="A119" s="16" t="n">
        <v>46197</v>
      </c>
      <c r="B119" s="12" t="s">
        <v>22</v>
      </c>
      <c r="C119" s="13" t="s">
        <v>143</v>
      </c>
      <c r="D119" s="12" t="s">
        <v>231</v>
      </c>
      <c r="E119" s="11" t="s">
        <v>19</v>
      </c>
      <c r="F119" s="12" t="s">
        <v>647</v>
      </c>
      <c r="G119" s="12" t="s">
        <v>786</v>
      </c>
    </row>
    <row r="120" customFormat="false" ht="15" hidden="false" customHeight="false" outlineLevel="0" collapsed="false">
      <c r="A120" s="16" t="n">
        <v>46197</v>
      </c>
      <c r="B120" s="12" t="s">
        <v>23</v>
      </c>
      <c r="C120" s="13" t="s">
        <v>326</v>
      </c>
      <c r="D120" s="12" t="s">
        <v>387</v>
      </c>
      <c r="E120" s="11" t="s">
        <v>19</v>
      </c>
      <c r="F120" s="12" t="s">
        <v>647</v>
      </c>
      <c r="G120" s="12" t="s">
        <v>787</v>
      </c>
    </row>
    <row r="121" customFormat="false" ht="15" hidden="false" customHeight="false" outlineLevel="0" collapsed="false">
      <c r="A121" s="16" t="n">
        <v>46198</v>
      </c>
      <c r="B121" s="12" t="s">
        <v>23</v>
      </c>
      <c r="C121" s="13" t="s">
        <v>338</v>
      </c>
      <c r="D121" s="12" t="s">
        <v>788</v>
      </c>
      <c r="E121" s="11" t="s">
        <v>678</v>
      </c>
      <c r="F121" s="12" t="s">
        <v>665</v>
      </c>
      <c r="G121" s="12" t="s">
        <v>789</v>
      </c>
    </row>
    <row r="122" customFormat="false" ht="15" hidden="false" customHeight="false" outlineLevel="0" collapsed="false">
      <c r="A122" s="16" t="n">
        <v>46198</v>
      </c>
      <c r="B122" s="12" t="s">
        <v>23</v>
      </c>
      <c r="C122" s="13" t="s">
        <v>335</v>
      </c>
      <c r="D122" s="12" t="s">
        <v>790</v>
      </c>
      <c r="E122" s="11" t="s">
        <v>694</v>
      </c>
      <c r="F122" s="12" t="s">
        <v>665</v>
      </c>
      <c r="G122" s="12" t="s">
        <v>789</v>
      </c>
    </row>
    <row r="123" customFormat="false" ht="15" hidden="false" customHeight="false" outlineLevel="0" collapsed="false">
      <c r="A123" s="16" t="n">
        <v>46198</v>
      </c>
      <c r="B123" s="12" t="s">
        <v>24</v>
      </c>
      <c r="C123" s="13" t="s">
        <v>526</v>
      </c>
      <c r="D123" s="12" t="s">
        <v>623</v>
      </c>
      <c r="E123" s="11" t="s">
        <v>20</v>
      </c>
      <c r="F123" s="12" t="s">
        <v>647</v>
      </c>
      <c r="G123" s="12" t="s">
        <v>791</v>
      </c>
    </row>
    <row r="124" customFormat="false" ht="15" hidden="false" customHeight="false" outlineLevel="0" collapsed="false">
      <c r="A124" s="16" t="n">
        <v>46201</v>
      </c>
      <c r="B124" s="12" t="s">
        <v>23</v>
      </c>
      <c r="C124" s="13" t="s">
        <v>311</v>
      </c>
      <c r="D124" s="12" t="s">
        <v>792</v>
      </c>
      <c r="E124" s="11" t="s">
        <v>678</v>
      </c>
      <c r="F124" s="12" t="s">
        <v>665</v>
      </c>
      <c r="G124" s="12" t="s">
        <v>793</v>
      </c>
    </row>
    <row r="125" customFormat="false" ht="15" hidden="false" customHeight="false" outlineLevel="0" collapsed="false">
      <c r="A125" s="16" t="n">
        <v>46201</v>
      </c>
      <c r="B125" s="12" t="s">
        <v>23</v>
      </c>
      <c r="C125" s="13" t="s">
        <v>306</v>
      </c>
      <c r="D125" s="12" t="s">
        <v>794</v>
      </c>
      <c r="E125" s="11" t="s">
        <v>664</v>
      </c>
      <c r="F125" s="12" t="s">
        <v>665</v>
      </c>
      <c r="G125" s="12" t="s">
        <v>793</v>
      </c>
    </row>
    <row r="126" customFormat="false" ht="15" hidden="false" customHeight="false" outlineLevel="0" collapsed="false">
      <c r="A126" s="16" t="n">
        <v>46202</v>
      </c>
      <c r="B126" s="12" t="s">
        <v>23</v>
      </c>
      <c r="C126" s="13" t="s">
        <v>287</v>
      </c>
      <c r="D126" s="12" t="s">
        <v>396</v>
      </c>
      <c r="E126" s="11" t="s">
        <v>19</v>
      </c>
      <c r="F126" s="12" t="s">
        <v>647</v>
      </c>
      <c r="G126" s="12" t="s">
        <v>795</v>
      </c>
    </row>
    <row r="127" customFormat="false" ht="15" hidden="false" customHeight="false" outlineLevel="0" collapsed="false">
      <c r="A127" s="16" t="n">
        <v>46202</v>
      </c>
      <c r="B127" s="12" t="s">
        <v>24</v>
      </c>
      <c r="C127" s="13" t="s">
        <v>482</v>
      </c>
      <c r="D127" s="12" t="s">
        <v>624</v>
      </c>
      <c r="E127" s="11" t="s">
        <v>19</v>
      </c>
      <c r="F127" s="12" t="s">
        <v>647</v>
      </c>
      <c r="G127" s="12" t="s">
        <v>796</v>
      </c>
    </row>
    <row r="128" customFormat="false" ht="15" hidden="false" customHeight="false" outlineLevel="0" collapsed="false">
      <c r="A128" s="16" t="n">
        <v>46203</v>
      </c>
      <c r="B128" s="12" t="s">
        <v>23</v>
      </c>
      <c r="C128" s="13" t="s">
        <v>286</v>
      </c>
      <c r="D128" s="12" t="s">
        <v>797</v>
      </c>
      <c r="E128" s="11" t="s">
        <v>664</v>
      </c>
      <c r="F128" s="12" t="s">
        <v>665</v>
      </c>
      <c r="G128" s="12" t="s">
        <v>798</v>
      </c>
    </row>
    <row r="129" customFormat="false" ht="15" hidden="false" customHeight="false" outlineLevel="0" collapsed="false">
      <c r="A129" s="16" t="n">
        <v>46203</v>
      </c>
      <c r="B129" s="12" t="s">
        <v>23</v>
      </c>
      <c r="C129" s="13" t="s">
        <v>349</v>
      </c>
      <c r="D129" s="12" t="s">
        <v>399</v>
      </c>
      <c r="E129" s="11" t="s">
        <v>20</v>
      </c>
      <c r="F129" s="12" t="s">
        <v>647</v>
      </c>
      <c r="G129" s="12" t="s">
        <v>798</v>
      </c>
    </row>
    <row r="130" customFormat="false" ht="15" hidden="false" customHeight="false" outlineLevel="0" collapsed="false">
      <c r="A130" s="16" t="n">
        <v>46203</v>
      </c>
      <c r="B130" s="12" t="s">
        <v>24</v>
      </c>
      <c r="C130" s="13" t="s">
        <v>505</v>
      </c>
      <c r="D130" s="12" t="s">
        <v>799</v>
      </c>
      <c r="E130" s="11" t="s">
        <v>664</v>
      </c>
      <c r="F130" s="12" t="s">
        <v>665</v>
      </c>
      <c r="G130" s="12" t="s">
        <v>800</v>
      </c>
    </row>
    <row r="131" customFormat="false" ht="15" hidden="false" customHeight="false" outlineLevel="0" collapsed="false">
      <c r="A131" s="16" t="n">
        <v>46204</v>
      </c>
      <c r="B131" s="12" t="s">
        <v>23</v>
      </c>
      <c r="C131" s="13" t="s">
        <v>319</v>
      </c>
      <c r="D131" s="12" t="s">
        <v>801</v>
      </c>
      <c r="E131" s="11" t="s">
        <v>678</v>
      </c>
      <c r="F131" s="12" t="s">
        <v>665</v>
      </c>
      <c r="G131" s="12" t="s">
        <v>802</v>
      </c>
    </row>
    <row r="132" customFormat="false" ht="15" hidden="false" customHeight="false" outlineLevel="0" collapsed="false">
      <c r="A132" s="16" t="n">
        <v>46205</v>
      </c>
      <c r="B132" s="12" t="s">
        <v>23</v>
      </c>
      <c r="C132" s="13" t="s">
        <v>347</v>
      </c>
      <c r="D132" s="12" t="s">
        <v>402</v>
      </c>
      <c r="E132" s="11" t="s">
        <v>20</v>
      </c>
      <c r="F132" s="12" t="s">
        <v>647</v>
      </c>
      <c r="G132" s="12" t="s">
        <v>803</v>
      </c>
    </row>
    <row r="133" customFormat="false" ht="15" hidden="false" customHeight="false" outlineLevel="0" collapsed="false">
      <c r="A133" s="16" t="n">
        <v>46205</v>
      </c>
      <c r="B133" s="12" t="s">
        <v>24</v>
      </c>
      <c r="C133" s="13" t="s">
        <v>546</v>
      </c>
      <c r="D133" s="12" t="s">
        <v>627</v>
      </c>
      <c r="E133" s="11" t="s">
        <v>19</v>
      </c>
      <c r="F133" s="12" t="s">
        <v>647</v>
      </c>
      <c r="G133" s="12" t="s">
        <v>804</v>
      </c>
    </row>
    <row r="134" customFormat="false" ht="15" hidden="false" customHeight="false" outlineLevel="0" collapsed="false">
      <c r="A134" s="16" t="n">
        <v>46207</v>
      </c>
      <c r="B134" s="12" t="s">
        <v>23</v>
      </c>
      <c r="C134" s="13" t="s">
        <v>282</v>
      </c>
      <c r="D134" s="12" t="s">
        <v>805</v>
      </c>
      <c r="E134" s="11" t="s">
        <v>678</v>
      </c>
      <c r="F134" s="12" t="s">
        <v>665</v>
      </c>
      <c r="G134" s="12" t="s">
        <v>806</v>
      </c>
    </row>
    <row r="135" customFormat="false" ht="15" hidden="false" customHeight="false" outlineLevel="0" collapsed="false">
      <c r="A135" s="16" t="n">
        <v>46219</v>
      </c>
      <c r="B135" s="12" t="s">
        <v>22</v>
      </c>
      <c r="C135" s="13" t="s">
        <v>186</v>
      </c>
      <c r="D135" s="12" t="s">
        <v>232</v>
      </c>
      <c r="E135" s="11" t="s">
        <v>20</v>
      </c>
      <c r="F135" s="12" t="s">
        <v>647</v>
      </c>
      <c r="G135" s="12" t="s">
        <v>807</v>
      </c>
    </row>
    <row r="136" customFormat="false" ht="15" hidden="false" customHeight="false" outlineLevel="0" collapsed="false">
      <c r="A136" s="16" t="n">
        <v>46222</v>
      </c>
      <c r="B136" s="12" t="s">
        <v>24</v>
      </c>
      <c r="C136" s="13" t="s">
        <v>536</v>
      </c>
      <c r="D136" s="12" t="s">
        <v>628</v>
      </c>
      <c r="E136" s="11" t="s">
        <v>19</v>
      </c>
      <c r="F136" s="12" t="s">
        <v>647</v>
      </c>
      <c r="G136" s="12" t="s">
        <v>808</v>
      </c>
    </row>
    <row r="137" customFormat="false" ht="15" hidden="false" customHeight="false" outlineLevel="0" collapsed="false">
      <c r="A137" s="16" t="n">
        <v>46224</v>
      </c>
      <c r="B137" s="12" t="s">
        <v>24</v>
      </c>
      <c r="C137" s="13" t="s">
        <v>551</v>
      </c>
      <c r="D137" s="12" t="s">
        <v>629</v>
      </c>
      <c r="E137" s="11" t="s">
        <v>20</v>
      </c>
      <c r="F137" s="12" t="s">
        <v>647</v>
      </c>
      <c r="G137" s="12" t="s">
        <v>809</v>
      </c>
    </row>
    <row r="138" customFormat="false" ht="15" hidden="false" customHeight="false" outlineLevel="0" collapsed="false">
      <c r="A138" s="16" t="n">
        <v>46233</v>
      </c>
      <c r="B138" s="12" t="s">
        <v>24</v>
      </c>
      <c r="C138" s="13" t="s">
        <v>469</v>
      </c>
      <c r="D138" s="12" t="s">
        <v>630</v>
      </c>
      <c r="E138" s="11" t="s">
        <v>20</v>
      </c>
      <c r="F138" s="12" t="s">
        <v>647</v>
      </c>
      <c r="G138" s="12" t="s">
        <v>810</v>
      </c>
    </row>
    <row r="139" customFormat="false" ht="15" hidden="false" customHeight="false" outlineLevel="0" collapsed="false">
      <c r="A139" s="16" t="n">
        <v>46235</v>
      </c>
      <c r="B139" s="12" t="s">
        <v>24</v>
      </c>
      <c r="C139" s="13" t="s">
        <v>481</v>
      </c>
      <c r="D139" s="12" t="s">
        <v>811</v>
      </c>
      <c r="E139" s="11" t="s">
        <v>678</v>
      </c>
      <c r="F139" s="12" t="s">
        <v>665</v>
      </c>
      <c r="G139" s="12" t="s">
        <v>812</v>
      </c>
    </row>
    <row r="140" customFormat="false" ht="15" hidden="false" customHeight="false" outlineLevel="0" collapsed="false">
      <c r="A140" s="16" t="n">
        <v>46237</v>
      </c>
      <c r="B140" s="12" t="s">
        <v>23</v>
      </c>
      <c r="C140" s="13" t="s">
        <v>351</v>
      </c>
      <c r="D140" s="12" t="s">
        <v>405</v>
      </c>
      <c r="E140" s="11" t="s">
        <v>20</v>
      </c>
      <c r="F140" s="12" t="s">
        <v>647</v>
      </c>
      <c r="G140" s="12" t="s">
        <v>813</v>
      </c>
    </row>
    <row r="141" customFormat="false" ht="15" hidden="false" customHeight="false" outlineLevel="0" collapsed="false">
      <c r="A141" s="16" t="n">
        <v>46237</v>
      </c>
      <c r="B141" s="12" t="s">
        <v>24</v>
      </c>
      <c r="C141" s="13" t="s">
        <v>515</v>
      </c>
      <c r="D141" s="12" t="s">
        <v>633</v>
      </c>
      <c r="E141" s="11" t="s">
        <v>20</v>
      </c>
      <c r="F141" s="12" t="s">
        <v>647</v>
      </c>
      <c r="G141" s="12" t="s">
        <v>814</v>
      </c>
    </row>
    <row r="142" customFormat="false" ht="15" hidden="false" customHeight="false" outlineLevel="0" collapsed="false">
      <c r="A142" s="16" t="n">
        <v>46243</v>
      </c>
      <c r="B142" s="12" t="s">
        <v>22</v>
      </c>
      <c r="C142" s="13" t="s">
        <v>132</v>
      </c>
      <c r="D142" s="12" t="s">
        <v>233</v>
      </c>
      <c r="E142" s="11" t="s">
        <v>20</v>
      </c>
      <c r="F142" s="12" t="s">
        <v>647</v>
      </c>
      <c r="G142" s="12" t="s">
        <v>815</v>
      </c>
    </row>
    <row r="143" customFormat="false" ht="15" hidden="false" customHeight="false" outlineLevel="0" collapsed="false">
      <c r="A143" s="16" t="n">
        <v>46247</v>
      </c>
      <c r="B143" s="12" t="s">
        <v>24</v>
      </c>
      <c r="C143" s="13" t="s">
        <v>525</v>
      </c>
      <c r="D143" s="12" t="s">
        <v>635</v>
      </c>
      <c r="E143" s="11" t="s">
        <v>19</v>
      </c>
      <c r="F143" s="12" t="s">
        <v>647</v>
      </c>
      <c r="G143" s="12" t="s">
        <v>816</v>
      </c>
    </row>
    <row r="144" customFormat="false" ht="15" hidden="false" customHeight="false" outlineLevel="0" collapsed="false">
      <c r="A144" s="16" t="n">
        <v>46248</v>
      </c>
      <c r="B144" s="12" t="s">
        <v>24</v>
      </c>
      <c r="C144" s="13" t="s">
        <v>523</v>
      </c>
      <c r="D144" s="12" t="s">
        <v>817</v>
      </c>
      <c r="E144" s="11" t="s">
        <v>678</v>
      </c>
      <c r="F144" s="12" t="s">
        <v>665</v>
      </c>
      <c r="G144" s="12" t="s">
        <v>818</v>
      </c>
    </row>
    <row r="145" customFormat="false" ht="15" hidden="false" customHeight="false" outlineLevel="0" collapsed="false">
      <c r="A145" s="16" t="n">
        <v>46255</v>
      </c>
      <c r="B145" s="12" t="s">
        <v>24</v>
      </c>
      <c r="C145" s="13" t="s">
        <v>542</v>
      </c>
      <c r="D145" s="12" t="s">
        <v>638</v>
      </c>
      <c r="E145" s="11" t="s">
        <v>19</v>
      </c>
      <c r="F145" s="12" t="s">
        <v>647</v>
      </c>
      <c r="G145" s="12" t="s">
        <v>819</v>
      </c>
    </row>
    <row r="146" customFormat="false" ht="15" hidden="false" customHeight="false" outlineLevel="0" collapsed="false">
      <c r="A146" s="16" t="n">
        <v>46256</v>
      </c>
      <c r="B146" s="12" t="s">
        <v>23</v>
      </c>
      <c r="C146" s="13" t="s">
        <v>325</v>
      </c>
      <c r="D146" s="12" t="s">
        <v>406</v>
      </c>
      <c r="E146" s="11" t="s">
        <v>20</v>
      </c>
      <c r="F146" s="12" t="s">
        <v>647</v>
      </c>
      <c r="G146" s="12" t="s">
        <v>820</v>
      </c>
    </row>
    <row r="147" customFormat="false" ht="15" hidden="false" customHeight="false" outlineLevel="0" collapsed="false">
      <c r="A147" s="16" t="n">
        <v>46258</v>
      </c>
      <c r="B147" s="12" t="s">
        <v>22</v>
      </c>
      <c r="C147" s="13" t="s">
        <v>141</v>
      </c>
      <c r="D147" s="12" t="s">
        <v>234</v>
      </c>
      <c r="E147" s="11" t="s">
        <v>19</v>
      </c>
      <c r="F147" s="12" t="s">
        <v>647</v>
      </c>
      <c r="G147" s="12" t="s">
        <v>821</v>
      </c>
    </row>
    <row r="148" customFormat="false" ht="15" hidden="false" customHeight="false" outlineLevel="0" collapsed="false">
      <c r="A148" s="16" t="n">
        <v>46267</v>
      </c>
      <c r="B148" s="12" t="s">
        <v>24</v>
      </c>
      <c r="C148" s="13" t="s">
        <v>512</v>
      </c>
      <c r="D148" s="12" t="s">
        <v>639</v>
      </c>
      <c r="E148" s="11" t="s">
        <v>20</v>
      </c>
      <c r="F148" s="12" t="s">
        <v>647</v>
      </c>
      <c r="G148" s="12" t="s">
        <v>822</v>
      </c>
    </row>
    <row r="149" customFormat="false" ht="15" hidden="false" customHeight="false" outlineLevel="0" collapsed="false">
      <c r="A149" s="16" t="n">
        <v>46269</v>
      </c>
      <c r="B149" s="12" t="s">
        <v>24</v>
      </c>
      <c r="C149" s="13" t="s">
        <v>489</v>
      </c>
      <c r="D149" s="12" t="s">
        <v>640</v>
      </c>
      <c r="E149" s="11" t="s">
        <v>19</v>
      </c>
      <c r="F149" s="12" t="s">
        <v>647</v>
      </c>
      <c r="G149" s="12" t="s">
        <v>823</v>
      </c>
    </row>
    <row r="150" customFormat="false" ht="15" hidden="false" customHeight="false" outlineLevel="0" collapsed="false">
      <c r="A150" s="16" t="n">
        <v>46275</v>
      </c>
      <c r="B150" s="12" t="s">
        <v>24</v>
      </c>
      <c r="C150" s="13" t="s">
        <v>557</v>
      </c>
      <c r="D150" s="12" t="s">
        <v>641</v>
      </c>
      <c r="E150" s="11" t="s">
        <v>19</v>
      </c>
      <c r="F150" s="12" t="s">
        <v>647</v>
      </c>
      <c r="G150" s="12" t="s">
        <v>824</v>
      </c>
    </row>
    <row r="151" customFormat="false" ht="15" hidden="false" customHeight="false" outlineLevel="0" collapsed="false">
      <c r="A151" s="16" t="n">
        <v>46277</v>
      </c>
      <c r="B151" s="12" t="s">
        <v>22</v>
      </c>
      <c r="C151" s="13" t="s">
        <v>135</v>
      </c>
      <c r="D151" s="12" t="s">
        <v>238</v>
      </c>
      <c r="E151" s="11" t="s">
        <v>19</v>
      </c>
      <c r="F151" s="12" t="s">
        <v>647</v>
      </c>
      <c r="G151" s="12" t="s">
        <v>825</v>
      </c>
    </row>
  </sheetData>
  <autoFilter ref="A1:G15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9"/>
    <col collapsed="false" customWidth="true" hidden="false" outlineLevel="0" max="4" min="4" style="0" width="8"/>
    <col collapsed="false" customWidth="true" hidden="false" outlineLevel="0" max="5" min="5" style="0" width="12"/>
    <col collapsed="false" customWidth="true" hidden="false" outlineLevel="0" max="6" min="6" style="0" width="30"/>
    <col collapsed="false" customWidth="true" hidden="false" outlineLevel="0" max="7" min="7" style="0" width="34"/>
    <col collapsed="false" customWidth="true" hidden="false" outlineLevel="0" max="8" min="8" style="0" width="80"/>
  </cols>
  <sheetData>
    <row r="1" customFormat="false" ht="46.25" hidden="false" customHeight="false" outlineLevel="0" collapsed="false">
      <c r="A1" s="10" t="s">
        <v>642</v>
      </c>
      <c r="B1" s="10" t="s">
        <v>26</v>
      </c>
      <c r="C1" s="10" t="s">
        <v>18</v>
      </c>
      <c r="D1" s="10" t="s">
        <v>27</v>
      </c>
      <c r="E1" s="10" t="s">
        <v>826</v>
      </c>
      <c r="F1" s="10" t="s">
        <v>827</v>
      </c>
      <c r="G1" s="10" t="s">
        <v>828</v>
      </c>
      <c r="H1" s="10" t="s">
        <v>646</v>
      </c>
    </row>
    <row r="2" customFormat="false" ht="15" hidden="false" customHeight="false" outlineLevel="0" collapsed="false">
      <c r="A2" s="16" t="n">
        <v>45665</v>
      </c>
      <c r="B2" s="13" t="s">
        <v>75</v>
      </c>
      <c r="C2" s="12" t="s">
        <v>22</v>
      </c>
      <c r="D2" s="12" t="s">
        <v>19</v>
      </c>
      <c r="E2" s="13" t="n">
        <v>7</v>
      </c>
      <c r="F2" s="12" t="s">
        <v>829</v>
      </c>
      <c r="G2" s="12" t="s">
        <v>830</v>
      </c>
      <c r="H2" s="12" t="s">
        <v>831</v>
      </c>
    </row>
    <row r="3" customFormat="false" ht="15" hidden="false" customHeight="false" outlineLevel="0" collapsed="false">
      <c r="A3" s="16" t="n">
        <v>45710</v>
      </c>
      <c r="B3" s="13" t="s">
        <v>117</v>
      </c>
      <c r="C3" s="12" t="s">
        <v>22</v>
      </c>
      <c r="D3" s="12" t="s">
        <v>20</v>
      </c>
      <c r="E3" s="13" t="n">
        <v>5</v>
      </c>
      <c r="F3" s="11" t="s">
        <v>832</v>
      </c>
      <c r="G3" s="12" t="s">
        <v>833</v>
      </c>
      <c r="H3" s="12" t="s">
        <v>834</v>
      </c>
    </row>
    <row r="4" customFormat="false" ht="15" hidden="false" customHeight="false" outlineLevel="0" collapsed="false">
      <c r="A4" s="16" t="n">
        <v>45757</v>
      </c>
      <c r="B4" s="13" t="s">
        <v>83</v>
      </c>
      <c r="C4" s="12" t="s">
        <v>22</v>
      </c>
      <c r="D4" s="12" t="s">
        <v>19</v>
      </c>
      <c r="E4" s="13" t="n">
        <v>5</v>
      </c>
      <c r="F4" s="11" t="s">
        <v>832</v>
      </c>
      <c r="G4" s="12" t="s">
        <v>835</v>
      </c>
      <c r="H4" s="12" t="s">
        <v>836</v>
      </c>
    </row>
    <row r="5" customFormat="false" ht="15" hidden="false" customHeight="false" outlineLevel="0" collapsed="false">
      <c r="A5" s="16" t="n">
        <v>45794</v>
      </c>
      <c r="B5" s="13" t="s">
        <v>102</v>
      </c>
      <c r="C5" s="12" t="s">
        <v>22</v>
      </c>
      <c r="D5" s="12" t="s">
        <v>19</v>
      </c>
      <c r="E5" s="13" t="n">
        <v>6</v>
      </c>
      <c r="F5" s="12" t="s">
        <v>829</v>
      </c>
      <c r="G5" s="12" t="s">
        <v>837</v>
      </c>
      <c r="H5" s="12" t="s">
        <v>838</v>
      </c>
    </row>
    <row r="6" customFormat="false" ht="15" hidden="false" customHeight="false" outlineLevel="0" collapsed="false">
      <c r="A6" s="16" t="n">
        <v>45796</v>
      </c>
      <c r="B6" s="13" t="s">
        <v>96</v>
      </c>
      <c r="C6" s="12" t="s">
        <v>22</v>
      </c>
      <c r="D6" s="12" t="s">
        <v>19</v>
      </c>
      <c r="E6" s="13" t="n">
        <v>6</v>
      </c>
      <c r="F6" s="12" t="s">
        <v>829</v>
      </c>
      <c r="G6" s="12" t="s">
        <v>837</v>
      </c>
      <c r="H6" s="12" t="s">
        <v>839</v>
      </c>
    </row>
    <row r="7" customFormat="false" ht="15" hidden="false" customHeight="false" outlineLevel="0" collapsed="false">
      <c r="A7" s="16" t="n">
        <v>45805</v>
      </c>
      <c r="B7" s="13" t="s">
        <v>87</v>
      </c>
      <c r="C7" s="12" t="s">
        <v>22</v>
      </c>
      <c r="D7" s="12" t="s">
        <v>19</v>
      </c>
      <c r="E7" s="13" t="n">
        <v>6</v>
      </c>
      <c r="F7" s="12" t="s">
        <v>829</v>
      </c>
      <c r="G7" s="12" t="s">
        <v>837</v>
      </c>
      <c r="H7" s="12" t="s">
        <v>840</v>
      </c>
    </row>
    <row r="8" customFormat="false" ht="15" hidden="false" customHeight="false" outlineLevel="0" collapsed="false">
      <c r="A8" s="16" t="n">
        <v>45810</v>
      </c>
      <c r="B8" s="13" t="s">
        <v>138</v>
      </c>
      <c r="C8" s="12" t="s">
        <v>22</v>
      </c>
      <c r="D8" s="12" t="s">
        <v>20</v>
      </c>
      <c r="E8" s="13" t="n">
        <v>3</v>
      </c>
      <c r="F8" s="12" t="s">
        <v>829</v>
      </c>
      <c r="G8" s="12" t="s">
        <v>841</v>
      </c>
      <c r="H8" s="12" t="s">
        <v>842</v>
      </c>
    </row>
    <row r="9" customFormat="false" ht="15" hidden="false" customHeight="false" outlineLevel="0" collapsed="false">
      <c r="A9" s="16" t="n">
        <v>45811</v>
      </c>
      <c r="B9" s="13" t="s">
        <v>344</v>
      </c>
      <c r="C9" s="12" t="s">
        <v>23</v>
      </c>
      <c r="D9" s="12" t="s">
        <v>20</v>
      </c>
      <c r="E9" s="13" t="n">
        <v>1</v>
      </c>
      <c r="F9" s="12" t="s">
        <v>829</v>
      </c>
      <c r="G9" s="12" t="s">
        <v>843</v>
      </c>
      <c r="H9" s="12" t="s">
        <v>844</v>
      </c>
    </row>
    <row r="10" customFormat="false" ht="15" hidden="false" customHeight="false" outlineLevel="0" collapsed="false">
      <c r="A10" s="16" t="n">
        <v>45821</v>
      </c>
      <c r="B10" s="13" t="s">
        <v>511</v>
      </c>
      <c r="C10" s="12" t="s">
        <v>24</v>
      </c>
      <c r="D10" s="12" t="s">
        <v>20</v>
      </c>
      <c r="E10" s="13" t="n">
        <v>4</v>
      </c>
      <c r="F10" s="12" t="s">
        <v>829</v>
      </c>
      <c r="G10" s="12" t="s">
        <v>845</v>
      </c>
      <c r="H10" s="12" t="s">
        <v>846</v>
      </c>
    </row>
    <row r="11" customFormat="false" ht="15" hidden="false" customHeight="false" outlineLevel="0" collapsed="false">
      <c r="A11" s="16" t="n">
        <v>45829</v>
      </c>
      <c r="B11" s="13" t="s">
        <v>435</v>
      </c>
      <c r="C11" s="12" t="s">
        <v>24</v>
      </c>
      <c r="D11" s="12" t="s">
        <v>19</v>
      </c>
      <c r="E11" s="13" t="n">
        <v>5</v>
      </c>
      <c r="F11" s="12" t="s">
        <v>829</v>
      </c>
      <c r="G11" s="12" t="s">
        <v>847</v>
      </c>
      <c r="H11" s="12" t="s">
        <v>848</v>
      </c>
    </row>
    <row r="12" customFormat="false" ht="15" hidden="false" customHeight="false" outlineLevel="0" collapsed="false">
      <c r="A12" s="16" t="n">
        <v>45830</v>
      </c>
      <c r="B12" s="13" t="s">
        <v>145</v>
      </c>
      <c r="C12" s="12" t="s">
        <v>22</v>
      </c>
      <c r="D12" s="12" t="s">
        <v>20</v>
      </c>
      <c r="E12" s="13" t="n">
        <v>8</v>
      </c>
      <c r="F12" s="12" t="s">
        <v>829</v>
      </c>
      <c r="G12" s="12" t="s">
        <v>841</v>
      </c>
      <c r="H12" s="12" t="s">
        <v>849</v>
      </c>
    </row>
    <row r="13" customFormat="false" ht="15" hidden="false" customHeight="false" outlineLevel="0" collapsed="false">
      <c r="A13" s="16" t="n">
        <v>45830</v>
      </c>
      <c r="B13" s="13" t="s">
        <v>356</v>
      </c>
      <c r="C13" s="12" t="s">
        <v>23</v>
      </c>
      <c r="D13" s="12" t="s">
        <v>19</v>
      </c>
      <c r="E13" s="11" t="n">
        <v>0</v>
      </c>
      <c r="F13" s="12" t="s">
        <v>829</v>
      </c>
      <c r="G13" s="12" t="s">
        <v>850</v>
      </c>
      <c r="H13" s="12" t="s">
        <v>851</v>
      </c>
    </row>
    <row r="14" customFormat="false" ht="15" hidden="false" customHeight="false" outlineLevel="0" collapsed="false">
      <c r="A14" s="16" t="n">
        <v>45831</v>
      </c>
      <c r="B14" s="13" t="s">
        <v>357</v>
      </c>
      <c r="C14" s="12" t="s">
        <v>23</v>
      </c>
      <c r="D14" s="12" t="s">
        <v>20</v>
      </c>
      <c r="E14" s="11" t="n">
        <v>0</v>
      </c>
      <c r="F14" s="12" t="s">
        <v>829</v>
      </c>
      <c r="G14" s="12" t="s">
        <v>852</v>
      </c>
      <c r="H14" s="12" t="s">
        <v>853</v>
      </c>
    </row>
    <row r="15" customFormat="false" ht="15" hidden="false" customHeight="false" outlineLevel="0" collapsed="false">
      <c r="A15" s="16" t="n">
        <v>45832</v>
      </c>
      <c r="B15" s="13" t="s">
        <v>183</v>
      </c>
      <c r="C15" s="12" t="s">
        <v>22</v>
      </c>
      <c r="D15" s="12" t="s">
        <v>20</v>
      </c>
      <c r="E15" s="13" t="n">
        <v>1</v>
      </c>
      <c r="F15" s="12" t="s">
        <v>829</v>
      </c>
      <c r="G15" s="12" t="s">
        <v>841</v>
      </c>
      <c r="H15" s="12" t="s">
        <v>854</v>
      </c>
    </row>
    <row r="16" customFormat="false" ht="15" hidden="false" customHeight="false" outlineLevel="0" collapsed="false">
      <c r="A16" s="16" t="n">
        <v>45845</v>
      </c>
      <c r="B16" s="13" t="s">
        <v>350</v>
      </c>
      <c r="C16" s="12" t="s">
        <v>23</v>
      </c>
      <c r="D16" s="12" t="s">
        <v>20</v>
      </c>
      <c r="E16" s="13" t="n">
        <v>3</v>
      </c>
      <c r="F16" s="12" t="s">
        <v>829</v>
      </c>
      <c r="G16" s="12" t="s">
        <v>845</v>
      </c>
      <c r="H16" s="12" t="s">
        <v>855</v>
      </c>
    </row>
    <row r="17" customFormat="false" ht="15" hidden="false" customHeight="false" outlineLevel="0" collapsed="false">
      <c r="A17" s="16" t="n">
        <v>45849</v>
      </c>
      <c r="B17" s="13" t="s">
        <v>530</v>
      </c>
      <c r="C17" s="12" t="s">
        <v>24</v>
      </c>
      <c r="D17" s="12" t="s">
        <v>20</v>
      </c>
      <c r="E17" s="13" t="n">
        <v>2</v>
      </c>
      <c r="F17" s="12" t="s">
        <v>829</v>
      </c>
      <c r="G17" s="12" t="s">
        <v>856</v>
      </c>
      <c r="H17" s="12" t="s">
        <v>857</v>
      </c>
    </row>
    <row r="18" customFormat="false" ht="15" hidden="false" customHeight="false" outlineLevel="0" collapsed="false">
      <c r="A18" s="16" t="n">
        <v>45850</v>
      </c>
      <c r="B18" s="13" t="s">
        <v>106</v>
      </c>
      <c r="C18" s="12" t="s">
        <v>22</v>
      </c>
      <c r="D18" s="12" t="s">
        <v>20</v>
      </c>
      <c r="E18" s="13" t="n">
        <v>3</v>
      </c>
      <c r="F18" s="12" t="s">
        <v>829</v>
      </c>
      <c r="G18" s="12" t="s">
        <v>841</v>
      </c>
      <c r="H18" s="12" t="s">
        <v>858</v>
      </c>
    </row>
    <row r="19" customFormat="false" ht="15" hidden="false" customHeight="false" outlineLevel="0" collapsed="false">
      <c r="A19" s="16" t="n">
        <v>45853</v>
      </c>
      <c r="B19" s="13" t="s">
        <v>562</v>
      </c>
      <c r="C19" s="12" t="s">
        <v>24</v>
      </c>
      <c r="D19" s="12" t="s">
        <v>19</v>
      </c>
      <c r="E19" s="11" t="n">
        <v>0</v>
      </c>
      <c r="F19" s="12" t="s">
        <v>829</v>
      </c>
      <c r="G19" s="12" t="s">
        <v>847</v>
      </c>
      <c r="H19" s="12" t="s">
        <v>859</v>
      </c>
    </row>
    <row r="20" customFormat="false" ht="15" hidden="false" customHeight="false" outlineLevel="0" collapsed="false">
      <c r="A20" s="16" t="n">
        <v>45868</v>
      </c>
      <c r="B20" s="13" t="s">
        <v>353</v>
      </c>
      <c r="C20" s="12" t="s">
        <v>23</v>
      </c>
      <c r="D20" s="12" t="s">
        <v>20</v>
      </c>
      <c r="E20" s="13" t="n">
        <v>4</v>
      </c>
      <c r="F20" s="12" t="s">
        <v>829</v>
      </c>
      <c r="G20" s="12" t="s">
        <v>843</v>
      </c>
      <c r="H20" s="12" t="s">
        <v>860</v>
      </c>
    </row>
    <row r="21" customFormat="false" ht="15" hidden="false" customHeight="false" outlineLevel="0" collapsed="false">
      <c r="A21" s="16" t="n">
        <v>45873</v>
      </c>
      <c r="B21" s="13" t="s">
        <v>283</v>
      </c>
      <c r="C21" s="12" t="s">
        <v>23</v>
      </c>
      <c r="D21" s="12" t="s">
        <v>20</v>
      </c>
      <c r="E21" s="13" t="n">
        <v>3</v>
      </c>
      <c r="F21" s="12" t="s">
        <v>829</v>
      </c>
      <c r="G21" s="12" t="s">
        <v>845</v>
      </c>
      <c r="H21" s="12" t="s">
        <v>861</v>
      </c>
    </row>
    <row r="22" customFormat="false" ht="15" hidden="false" customHeight="false" outlineLevel="0" collapsed="false">
      <c r="A22" s="16" t="n">
        <v>45876</v>
      </c>
      <c r="B22" s="13" t="s">
        <v>474</v>
      </c>
      <c r="C22" s="12" t="s">
        <v>24</v>
      </c>
      <c r="D22" s="12" t="s">
        <v>20</v>
      </c>
      <c r="E22" s="13" t="n">
        <v>5</v>
      </c>
      <c r="F22" s="12" t="s">
        <v>829</v>
      </c>
      <c r="G22" s="12" t="s">
        <v>845</v>
      </c>
      <c r="H22" s="12" t="s">
        <v>862</v>
      </c>
    </row>
    <row r="23" customFormat="false" ht="15" hidden="false" customHeight="false" outlineLevel="0" collapsed="false">
      <c r="A23" s="16" t="n">
        <v>45881</v>
      </c>
      <c r="B23" s="13" t="s">
        <v>294</v>
      </c>
      <c r="C23" s="12" t="s">
        <v>23</v>
      </c>
      <c r="D23" s="12" t="s">
        <v>20</v>
      </c>
      <c r="E23" s="13" t="n">
        <v>3</v>
      </c>
      <c r="F23" s="12" t="s">
        <v>829</v>
      </c>
      <c r="G23" s="12" t="s">
        <v>845</v>
      </c>
      <c r="H23" s="12" t="s">
        <v>863</v>
      </c>
    </row>
    <row r="24" customFormat="false" ht="15" hidden="false" customHeight="false" outlineLevel="0" collapsed="false">
      <c r="A24" s="16" t="n">
        <v>45885</v>
      </c>
      <c r="B24" s="13" t="s">
        <v>256</v>
      </c>
      <c r="C24" s="12" t="s">
        <v>23</v>
      </c>
      <c r="D24" s="12" t="s">
        <v>19</v>
      </c>
      <c r="E24" s="13" t="n">
        <v>4</v>
      </c>
      <c r="F24" s="12" t="s">
        <v>829</v>
      </c>
      <c r="G24" s="12" t="s">
        <v>864</v>
      </c>
      <c r="H24" s="12" t="s">
        <v>696</v>
      </c>
    </row>
    <row r="25" customFormat="false" ht="15" hidden="false" customHeight="false" outlineLevel="0" collapsed="false">
      <c r="A25" s="16" t="n">
        <v>45887</v>
      </c>
      <c r="B25" s="13" t="s">
        <v>195</v>
      </c>
      <c r="C25" s="12" t="s">
        <v>22</v>
      </c>
      <c r="D25" s="12" t="s">
        <v>20</v>
      </c>
      <c r="E25" s="11" t="n">
        <v>0</v>
      </c>
      <c r="F25" s="12" t="s">
        <v>829</v>
      </c>
      <c r="G25" s="12" t="s">
        <v>865</v>
      </c>
      <c r="H25" s="12" t="s">
        <v>866</v>
      </c>
    </row>
    <row r="26" customFormat="false" ht="15" hidden="false" customHeight="false" outlineLevel="0" collapsed="false">
      <c r="A26" s="16" t="n">
        <v>45888</v>
      </c>
      <c r="B26" s="13" t="s">
        <v>268</v>
      </c>
      <c r="C26" s="12" t="s">
        <v>23</v>
      </c>
      <c r="D26" s="12" t="s">
        <v>19</v>
      </c>
      <c r="E26" s="13" t="n">
        <v>1</v>
      </c>
      <c r="F26" s="12" t="s">
        <v>829</v>
      </c>
      <c r="G26" s="12" t="s">
        <v>867</v>
      </c>
      <c r="H26" s="12" t="s">
        <v>868</v>
      </c>
    </row>
    <row r="27" customFormat="false" ht="15" hidden="false" customHeight="false" outlineLevel="0" collapsed="false">
      <c r="A27" s="16" t="n">
        <v>45888</v>
      </c>
      <c r="B27" s="13" t="s">
        <v>278</v>
      </c>
      <c r="C27" s="12" t="s">
        <v>23</v>
      </c>
      <c r="D27" s="12" t="s">
        <v>19</v>
      </c>
      <c r="E27" s="13" t="n">
        <v>4</v>
      </c>
      <c r="F27" s="12" t="s">
        <v>829</v>
      </c>
      <c r="G27" s="12" t="s">
        <v>867</v>
      </c>
      <c r="H27" s="12" t="s">
        <v>868</v>
      </c>
    </row>
    <row r="28" customFormat="false" ht="15" hidden="false" customHeight="false" outlineLevel="0" collapsed="false">
      <c r="A28" s="16" t="n">
        <v>45888</v>
      </c>
      <c r="B28" s="13" t="s">
        <v>315</v>
      </c>
      <c r="C28" s="12" t="s">
        <v>23</v>
      </c>
      <c r="D28" s="12" t="s">
        <v>20</v>
      </c>
      <c r="E28" s="13" t="n">
        <v>5</v>
      </c>
      <c r="F28" s="12" t="s">
        <v>829</v>
      </c>
      <c r="G28" s="12" t="s">
        <v>867</v>
      </c>
      <c r="H28" s="12" t="s">
        <v>868</v>
      </c>
    </row>
    <row r="29" customFormat="false" ht="15" hidden="false" customHeight="false" outlineLevel="0" collapsed="false">
      <c r="A29" s="16" t="n">
        <v>45888</v>
      </c>
      <c r="B29" s="13" t="s">
        <v>507</v>
      </c>
      <c r="C29" s="12" t="s">
        <v>24</v>
      </c>
      <c r="D29" s="12" t="s">
        <v>20</v>
      </c>
      <c r="E29" s="13" t="n">
        <v>4</v>
      </c>
      <c r="F29" s="12" t="s">
        <v>829</v>
      </c>
      <c r="G29" s="12" t="s">
        <v>845</v>
      </c>
      <c r="H29" s="12" t="s">
        <v>869</v>
      </c>
    </row>
    <row r="30" customFormat="false" ht="15" hidden="false" customHeight="false" outlineLevel="0" collapsed="false">
      <c r="A30" s="16" t="n">
        <v>45889</v>
      </c>
      <c r="B30" s="13" t="s">
        <v>120</v>
      </c>
      <c r="C30" s="12" t="s">
        <v>22</v>
      </c>
      <c r="D30" s="12" t="s">
        <v>20</v>
      </c>
      <c r="E30" s="13" t="n">
        <v>8</v>
      </c>
      <c r="F30" s="12" t="s">
        <v>829</v>
      </c>
      <c r="G30" s="12" t="s">
        <v>841</v>
      </c>
      <c r="H30" s="12" t="s">
        <v>870</v>
      </c>
    </row>
    <row r="31" customFormat="false" ht="15" hidden="false" customHeight="false" outlineLevel="0" collapsed="false">
      <c r="A31" s="16" t="n">
        <v>45897</v>
      </c>
      <c r="B31" s="13" t="s">
        <v>363</v>
      </c>
      <c r="C31" s="12" t="s">
        <v>23</v>
      </c>
      <c r="D31" s="12" t="s">
        <v>19</v>
      </c>
      <c r="E31" s="11" t="n">
        <v>0</v>
      </c>
      <c r="F31" s="12" t="s">
        <v>829</v>
      </c>
      <c r="G31" s="12" t="s">
        <v>871</v>
      </c>
      <c r="H31" s="12" t="s">
        <v>872</v>
      </c>
    </row>
    <row r="32" customFormat="false" ht="15" hidden="false" customHeight="false" outlineLevel="0" collapsed="false">
      <c r="A32" s="16" t="n">
        <v>45898</v>
      </c>
      <c r="B32" s="13" t="s">
        <v>298</v>
      </c>
      <c r="C32" s="12" t="s">
        <v>23</v>
      </c>
      <c r="D32" s="12" t="s">
        <v>20</v>
      </c>
      <c r="E32" s="13" t="n">
        <v>3</v>
      </c>
      <c r="F32" s="12" t="s">
        <v>829</v>
      </c>
      <c r="G32" s="12" t="s">
        <v>843</v>
      </c>
      <c r="H32" s="12" t="s">
        <v>873</v>
      </c>
    </row>
    <row r="33" customFormat="false" ht="15" hidden="false" customHeight="false" outlineLevel="0" collapsed="false">
      <c r="A33" s="16" t="n">
        <v>45901</v>
      </c>
      <c r="B33" s="13" t="s">
        <v>533</v>
      </c>
      <c r="C33" s="12" t="s">
        <v>24</v>
      </c>
      <c r="D33" s="12" t="s">
        <v>20</v>
      </c>
      <c r="E33" s="13" t="n">
        <v>5</v>
      </c>
      <c r="F33" s="12" t="s">
        <v>829</v>
      </c>
      <c r="G33" s="12" t="s">
        <v>874</v>
      </c>
      <c r="H33" s="12" t="s">
        <v>700</v>
      </c>
    </row>
    <row r="34" customFormat="false" ht="15" hidden="false" customHeight="false" outlineLevel="0" collapsed="false">
      <c r="A34" s="16" t="n">
        <v>45904</v>
      </c>
      <c r="B34" s="13" t="s">
        <v>190</v>
      </c>
      <c r="C34" s="12" t="s">
        <v>22</v>
      </c>
      <c r="D34" s="12" t="s">
        <v>19</v>
      </c>
      <c r="E34" s="11" t="n">
        <v>0</v>
      </c>
      <c r="F34" s="12" t="s">
        <v>829</v>
      </c>
      <c r="G34" s="12" t="s">
        <v>875</v>
      </c>
      <c r="H34" s="12" t="s">
        <v>876</v>
      </c>
    </row>
    <row r="35" customFormat="false" ht="15" hidden="false" customHeight="false" outlineLevel="0" collapsed="false">
      <c r="A35" s="16" t="n">
        <v>45904</v>
      </c>
      <c r="B35" s="13" t="s">
        <v>447</v>
      </c>
      <c r="C35" s="12" t="s">
        <v>24</v>
      </c>
      <c r="D35" s="12" t="s">
        <v>19</v>
      </c>
      <c r="E35" s="13" t="n">
        <v>3</v>
      </c>
      <c r="F35" s="12" t="s">
        <v>829</v>
      </c>
      <c r="G35" s="12" t="s">
        <v>847</v>
      </c>
      <c r="H35" s="12" t="s">
        <v>877</v>
      </c>
    </row>
    <row r="36" customFormat="false" ht="15" hidden="false" customHeight="false" outlineLevel="0" collapsed="false">
      <c r="A36" s="16" t="n">
        <v>45912</v>
      </c>
      <c r="B36" s="13" t="s">
        <v>573</v>
      </c>
      <c r="C36" s="12" t="s">
        <v>24</v>
      </c>
      <c r="D36" s="12" t="s">
        <v>19</v>
      </c>
      <c r="E36" s="11" t="n">
        <v>0</v>
      </c>
      <c r="F36" s="12" t="s">
        <v>829</v>
      </c>
      <c r="G36" s="12" t="s">
        <v>878</v>
      </c>
      <c r="H36" s="12" t="s">
        <v>879</v>
      </c>
    </row>
    <row r="37" customFormat="false" ht="15" hidden="false" customHeight="false" outlineLevel="0" collapsed="false">
      <c r="A37" s="16" t="n">
        <v>45912</v>
      </c>
      <c r="B37" s="13" t="s">
        <v>574</v>
      </c>
      <c r="C37" s="12" t="s">
        <v>24</v>
      </c>
      <c r="D37" s="12" t="s">
        <v>20</v>
      </c>
      <c r="E37" s="11" t="n">
        <v>0</v>
      </c>
      <c r="F37" s="12" t="s">
        <v>829</v>
      </c>
      <c r="G37" s="12" t="s">
        <v>878</v>
      </c>
      <c r="H37" s="12" t="s">
        <v>879</v>
      </c>
    </row>
    <row r="38" customFormat="false" ht="15" hidden="false" customHeight="false" outlineLevel="0" collapsed="false">
      <c r="A38" s="16" t="n">
        <v>45912</v>
      </c>
      <c r="B38" s="13" t="s">
        <v>575</v>
      </c>
      <c r="C38" s="12" t="s">
        <v>24</v>
      </c>
      <c r="D38" s="12" t="s">
        <v>20</v>
      </c>
      <c r="E38" s="11" t="n">
        <v>0</v>
      </c>
      <c r="F38" s="12" t="s">
        <v>829</v>
      </c>
      <c r="G38" s="12" t="s">
        <v>878</v>
      </c>
      <c r="H38" s="12" t="s">
        <v>879</v>
      </c>
    </row>
    <row r="39" customFormat="false" ht="15" hidden="false" customHeight="false" outlineLevel="0" collapsed="false">
      <c r="A39" s="16" t="n">
        <v>45913</v>
      </c>
      <c r="B39" s="13" t="s">
        <v>205</v>
      </c>
      <c r="C39" s="12" t="s">
        <v>22</v>
      </c>
      <c r="D39" s="12" t="s">
        <v>19</v>
      </c>
      <c r="E39" s="11" t="n">
        <v>0</v>
      </c>
      <c r="F39" s="12" t="s">
        <v>829</v>
      </c>
      <c r="G39" s="12" t="s">
        <v>875</v>
      </c>
      <c r="H39" s="12" t="s">
        <v>880</v>
      </c>
    </row>
    <row r="40" customFormat="false" ht="15" hidden="false" customHeight="false" outlineLevel="0" collapsed="false">
      <c r="A40" s="16" t="n">
        <v>45916</v>
      </c>
      <c r="B40" s="13" t="s">
        <v>362</v>
      </c>
      <c r="C40" s="12" t="s">
        <v>23</v>
      </c>
      <c r="D40" s="12" t="s">
        <v>19</v>
      </c>
      <c r="E40" s="11" t="n">
        <v>0</v>
      </c>
      <c r="F40" s="12" t="s">
        <v>829</v>
      </c>
      <c r="G40" s="12" t="s">
        <v>871</v>
      </c>
      <c r="H40" s="12" t="s">
        <v>881</v>
      </c>
    </row>
    <row r="41" customFormat="false" ht="15" hidden="false" customHeight="false" outlineLevel="0" collapsed="false">
      <c r="A41" s="16" t="n">
        <v>45917</v>
      </c>
      <c r="B41" s="13" t="s">
        <v>368</v>
      </c>
      <c r="C41" s="12" t="s">
        <v>23</v>
      </c>
      <c r="D41" s="12" t="s">
        <v>20</v>
      </c>
      <c r="E41" s="11" t="n">
        <v>0</v>
      </c>
      <c r="F41" s="12" t="s">
        <v>829</v>
      </c>
      <c r="G41" s="12" t="s">
        <v>871</v>
      </c>
      <c r="H41" s="12" t="s">
        <v>882</v>
      </c>
    </row>
    <row r="42" customFormat="false" ht="15" hidden="false" customHeight="false" outlineLevel="0" collapsed="false">
      <c r="A42" s="16" t="n">
        <v>45918</v>
      </c>
      <c r="B42" s="13" t="s">
        <v>361</v>
      </c>
      <c r="C42" s="12" t="s">
        <v>23</v>
      </c>
      <c r="D42" s="12" t="s">
        <v>19</v>
      </c>
      <c r="E42" s="11" t="n">
        <v>0</v>
      </c>
      <c r="F42" s="12" t="s">
        <v>829</v>
      </c>
      <c r="G42" s="12" t="s">
        <v>850</v>
      </c>
      <c r="H42" s="12" t="s">
        <v>883</v>
      </c>
    </row>
    <row r="43" customFormat="false" ht="15" hidden="false" customHeight="false" outlineLevel="0" collapsed="false">
      <c r="A43" s="16" t="n">
        <v>45918</v>
      </c>
      <c r="B43" s="13" t="s">
        <v>503</v>
      </c>
      <c r="C43" s="12" t="s">
        <v>24</v>
      </c>
      <c r="D43" s="12" t="s">
        <v>20</v>
      </c>
      <c r="E43" s="13" t="n">
        <v>2</v>
      </c>
      <c r="F43" s="12" t="s">
        <v>829</v>
      </c>
      <c r="G43" s="12" t="s">
        <v>845</v>
      </c>
      <c r="H43" s="12" t="s">
        <v>884</v>
      </c>
    </row>
    <row r="44" customFormat="false" ht="15" hidden="false" customHeight="false" outlineLevel="0" collapsed="false">
      <c r="A44" s="16" t="n">
        <v>45919</v>
      </c>
      <c r="B44" s="13" t="s">
        <v>483</v>
      </c>
      <c r="C44" s="12" t="s">
        <v>24</v>
      </c>
      <c r="D44" s="12" t="s">
        <v>20</v>
      </c>
      <c r="E44" s="13" t="n">
        <v>4</v>
      </c>
      <c r="F44" s="12" t="s">
        <v>829</v>
      </c>
      <c r="G44" s="12" t="s">
        <v>845</v>
      </c>
      <c r="H44" s="12" t="s">
        <v>885</v>
      </c>
    </row>
    <row r="45" customFormat="false" ht="15" hidden="false" customHeight="false" outlineLevel="0" collapsed="false">
      <c r="A45" s="16" t="n">
        <v>45921</v>
      </c>
      <c r="B45" s="13" t="s">
        <v>555</v>
      </c>
      <c r="C45" s="12" t="s">
        <v>24</v>
      </c>
      <c r="D45" s="12" t="s">
        <v>19</v>
      </c>
      <c r="E45" s="11" t="n">
        <v>0</v>
      </c>
      <c r="F45" s="12" t="s">
        <v>829</v>
      </c>
      <c r="G45" s="12" t="s">
        <v>847</v>
      </c>
      <c r="H45" s="12" t="s">
        <v>886</v>
      </c>
    </row>
    <row r="46" customFormat="false" ht="15" hidden="false" customHeight="false" outlineLevel="0" collapsed="false">
      <c r="A46" s="16" t="n">
        <v>45921</v>
      </c>
      <c r="B46" s="13" t="s">
        <v>464</v>
      </c>
      <c r="C46" s="12" t="s">
        <v>24</v>
      </c>
      <c r="D46" s="12" t="s">
        <v>20</v>
      </c>
      <c r="E46" s="13" t="n">
        <v>5</v>
      </c>
      <c r="F46" s="12" t="s">
        <v>829</v>
      </c>
      <c r="G46" s="12" t="s">
        <v>847</v>
      </c>
      <c r="H46" s="12" t="s">
        <v>886</v>
      </c>
    </row>
    <row r="47" customFormat="false" ht="15" hidden="false" customHeight="false" outlineLevel="0" collapsed="false">
      <c r="A47" s="16" t="n">
        <v>45922</v>
      </c>
      <c r="B47" s="13" t="s">
        <v>553</v>
      </c>
      <c r="C47" s="12" t="s">
        <v>24</v>
      </c>
      <c r="D47" s="12" t="s">
        <v>19</v>
      </c>
      <c r="E47" s="11" t="n">
        <v>0</v>
      </c>
      <c r="F47" s="12" t="s">
        <v>829</v>
      </c>
      <c r="G47" s="12" t="s">
        <v>847</v>
      </c>
      <c r="H47" s="12" t="s">
        <v>887</v>
      </c>
    </row>
    <row r="48" customFormat="false" ht="15" hidden="false" customHeight="false" outlineLevel="0" collapsed="false">
      <c r="A48" s="16" t="n">
        <v>45922</v>
      </c>
      <c r="B48" s="13" t="s">
        <v>576</v>
      </c>
      <c r="C48" s="12" t="s">
        <v>24</v>
      </c>
      <c r="D48" s="12" t="s">
        <v>20</v>
      </c>
      <c r="E48" s="11" t="n">
        <v>0</v>
      </c>
      <c r="F48" s="12" t="s">
        <v>829</v>
      </c>
      <c r="G48" s="12" t="s">
        <v>847</v>
      </c>
      <c r="H48" s="12" t="s">
        <v>887</v>
      </c>
    </row>
    <row r="49" customFormat="false" ht="15" hidden="false" customHeight="false" outlineLevel="0" collapsed="false">
      <c r="A49" s="16" t="n">
        <v>45924</v>
      </c>
      <c r="B49" s="13" t="s">
        <v>176</v>
      </c>
      <c r="C49" s="12" t="s">
        <v>22</v>
      </c>
      <c r="D49" s="12" t="s">
        <v>20</v>
      </c>
      <c r="E49" s="13" t="n">
        <v>0</v>
      </c>
      <c r="F49" s="12" t="s">
        <v>829</v>
      </c>
      <c r="G49" s="12" t="s">
        <v>888</v>
      </c>
      <c r="H49" s="12" t="s">
        <v>889</v>
      </c>
    </row>
    <row r="50" customFormat="false" ht="15" hidden="false" customHeight="false" outlineLevel="0" collapsed="false">
      <c r="A50" s="16" t="n">
        <v>45932</v>
      </c>
      <c r="B50" s="13" t="s">
        <v>366</v>
      </c>
      <c r="C50" s="12" t="s">
        <v>23</v>
      </c>
      <c r="D50" s="12" t="s">
        <v>20</v>
      </c>
      <c r="E50" s="11" t="n">
        <v>0</v>
      </c>
      <c r="F50" s="12" t="s">
        <v>829</v>
      </c>
      <c r="G50" s="12" t="s">
        <v>852</v>
      </c>
      <c r="H50" s="12" t="s">
        <v>890</v>
      </c>
    </row>
    <row r="51" customFormat="false" ht="15" hidden="false" customHeight="false" outlineLevel="0" collapsed="false">
      <c r="A51" s="16" t="n">
        <v>45934</v>
      </c>
      <c r="B51" s="13" t="s">
        <v>422</v>
      </c>
      <c r="C51" s="12" t="s">
        <v>24</v>
      </c>
      <c r="D51" s="12" t="s">
        <v>19</v>
      </c>
      <c r="E51" s="13" t="n">
        <v>4</v>
      </c>
      <c r="F51" s="12" t="s">
        <v>829</v>
      </c>
      <c r="G51" s="12" t="s">
        <v>891</v>
      </c>
      <c r="H51" s="12" t="s">
        <v>892</v>
      </c>
    </row>
    <row r="52" customFormat="false" ht="15" hidden="false" customHeight="false" outlineLevel="0" collapsed="false">
      <c r="A52" s="16" t="n">
        <v>45934</v>
      </c>
      <c r="B52" s="13" t="s">
        <v>514</v>
      </c>
      <c r="C52" s="12" t="s">
        <v>24</v>
      </c>
      <c r="D52" s="12" t="s">
        <v>20</v>
      </c>
      <c r="E52" s="13" t="n">
        <v>3</v>
      </c>
      <c r="F52" s="12" t="s">
        <v>829</v>
      </c>
      <c r="G52" s="12" t="s">
        <v>891</v>
      </c>
      <c r="H52" s="12" t="s">
        <v>892</v>
      </c>
    </row>
    <row r="53" customFormat="false" ht="15" hidden="false" customHeight="false" outlineLevel="0" collapsed="false">
      <c r="A53" s="16" t="n">
        <v>45936</v>
      </c>
      <c r="B53" s="13" t="s">
        <v>444</v>
      </c>
      <c r="C53" s="12" t="s">
        <v>24</v>
      </c>
      <c r="D53" s="12" t="s">
        <v>19</v>
      </c>
      <c r="E53" s="13" t="n">
        <v>2</v>
      </c>
      <c r="F53" s="12" t="s">
        <v>829</v>
      </c>
      <c r="G53" s="12" t="s">
        <v>847</v>
      </c>
      <c r="H53" s="12" t="s">
        <v>893</v>
      </c>
    </row>
    <row r="54" customFormat="false" ht="15" hidden="false" customHeight="false" outlineLevel="0" collapsed="false">
      <c r="A54" s="16" t="n">
        <v>45938</v>
      </c>
      <c r="B54" s="13" t="s">
        <v>572</v>
      </c>
      <c r="C54" s="12" t="s">
        <v>24</v>
      </c>
      <c r="D54" s="12" t="s">
        <v>19</v>
      </c>
      <c r="E54" s="11" t="n">
        <v>0</v>
      </c>
      <c r="F54" s="12" t="s">
        <v>829</v>
      </c>
      <c r="G54" s="12" t="s">
        <v>894</v>
      </c>
      <c r="H54" s="12" t="s">
        <v>895</v>
      </c>
    </row>
    <row r="55" customFormat="false" ht="15" hidden="false" customHeight="false" outlineLevel="0" collapsed="false">
      <c r="A55" s="16" t="n">
        <v>45943</v>
      </c>
      <c r="B55" s="13" t="s">
        <v>571</v>
      </c>
      <c r="C55" s="12" t="s">
        <v>24</v>
      </c>
      <c r="D55" s="12" t="s">
        <v>19</v>
      </c>
      <c r="E55" s="11" t="n">
        <v>0</v>
      </c>
      <c r="F55" s="11" t="s">
        <v>896</v>
      </c>
      <c r="G55" s="12" t="s">
        <v>897</v>
      </c>
      <c r="H55" s="12" t="s">
        <v>898</v>
      </c>
    </row>
    <row r="56" customFormat="false" ht="15" hidden="false" customHeight="false" outlineLevel="0" collapsed="false">
      <c r="A56" s="16" t="n">
        <v>45948</v>
      </c>
      <c r="B56" s="13" t="s">
        <v>449</v>
      </c>
      <c r="C56" s="12" t="s">
        <v>24</v>
      </c>
      <c r="D56" s="12" t="s">
        <v>19</v>
      </c>
      <c r="E56" s="13" t="n">
        <v>3</v>
      </c>
      <c r="F56" s="12" t="s">
        <v>829</v>
      </c>
      <c r="G56" s="12" t="s">
        <v>847</v>
      </c>
      <c r="H56" s="12" t="s">
        <v>899</v>
      </c>
    </row>
    <row r="57" customFormat="false" ht="15" hidden="false" customHeight="false" outlineLevel="0" collapsed="false">
      <c r="A57" s="16" t="n">
        <v>45954</v>
      </c>
      <c r="B57" s="13" t="s">
        <v>248</v>
      </c>
      <c r="C57" s="12" t="s">
        <v>23</v>
      </c>
      <c r="D57" s="12" t="s">
        <v>19</v>
      </c>
      <c r="E57" s="13" t="n">
        <v>3</v>
      </c>
      <c r="F57" s="12" t="s">
        <v>829</v>
      </c>
      <c r="G57" s="12" t="s">
        <v>864</v>
      </c>
      <c r="H57" s="12" t="s">
        <v>900</v>
      </c>
    </row>
    <row r="58" customFormat="false" ht="15" hidden="false" customHeight="false" outlineLevel="0" collapsed="false">
      <c r="A58" s="16" t="n">
        <v>45955</v>
      </c>
      <c r="B58" s="13" t="s">
        <v>355</v>
      </c>
      <c r="C58" s="12" t="s">
        <v>23</v>
      </c>
      <c r="D58" s="12" t="s">
        <v>19</v>
      </c>
      <c r="E58" s="11" t="n">
        <v>0</v>
      </c>
      <c r="F58" s="12" t="s">
        <v>829</v>
      </c>
      <c r="G58" s="12" t="s">
        <v>864</v>
      </c>
      <c r="H58" s="12" t="s">
        <v>901</v>
      </c>
    </row>
    <row r="59" customFormat="false" ht="15" hidden="false" customHeight="false" outlineLevel="0" collapsed="false">
      <c r="A59" s="16" t="n">
        <v>45955</v>
      </c>
      <c r="B59" s="13" t="s">
        <v>568</v>
      </c>
      <c r="C59" s="12" t="s">
        <v>24</v>
      </c>
      <c r="D59" s="12" t="s">
        <v>19</v>
      </c>
      <c r="E59" s="11" t="n">
        <v>0</v>
      </c>
      <c r="F59" s="12" t="s">
        <v>829</v>
      </c>
      <c r="G59" s="12" t="s">
        <v>847</v>
      </c>
      <c r="H59" s="12" t="s">
        <v>902</v>
      </c>
    </row>
    <row r="60" customFormat="false" ht="15" hidden="false" customHeight="false" outlineLevel="0" collapsed="false">
      <c r="A60" s="16" t="n">
        <v>45960</v>
      </c>
      <c r="B60" s="13" t="s">
        <v>354</v>
      </c>
      <c r="C60" s="12" t="s">
        <v>23</v>
      </c>
      <c r="D60" s="12" t="s">
        <v>19</v>
      </c>
      <c r="E60" s="11" t="n">
        <v>0</v>
      </c>
      <c r="F60" s="12" t="s">
        <v>829</v>
      </c>
      <c r="G60" s="12" t="s">
        <v>864</v>
      </c>
      <c r="H60" s="12" t="s">
        <v>903</v>
      </c>
    </row>
    <row r="61" customFormat="false" ht="15" hidden="false" customHeight="false" outlineLevel="0" collapsed="false">
      <c r="A61" s="16" t="n">
        <v>45960</v>
      </c>
      <c r="B61" s="13" t="s">
        <v>461</v>
      </c>
      <c r="C61" s="12" t="s">
        <v>24</v>
      </c>
      <c r="D61" s="12" t="s">
        <v>20</v>
      </c>
      <c r="E61" s="13" t="n">
        <v>5</v>
      </c>
      <c r="F61" s="12" t="s">
        <v>829</v>
      </c>
      <c r="G61" s="12" t="s">
        <v>904</v>
      </c>
      <c r="H61" s="12" t="s">
        <v>905</v>
      </c>
    </row>
    <row r="62" customFormat="false" ht="15" hidden="false" customHeight="false" outlineLevel="0" collapsed="false">
      <c r="A62" s="16" t="n">
        <v>45960</v>
      </c>
      <c r="B62" s="13" t="s">
        <v>496</v>
      </c>
      <c r="C62" s="12" t="s">
        <v>24</v>
      </c>
      <c r="D62" s="12" t="s">
        <v>20</v>
      </c>
      <c r="E62" s="13" t="n">
        <v>4</v>
      </c>
      <c r="F62" s="12" t="s">
        <v>829</v>
      </c>
      <c r="G62" s="12" t="s">
        <v>904</v>
      </c>
      <c r="H62" s="12" t="s">
        <v>905</v>
      </c>
    </row>
    <row r="63" customFormat="false" ht="15" hidden="false" customHeight="false" outlineLevel="0" collapsed="false">
      <c r="A63" s="16" t="n">
        <v>45961</v>
      </c>
      <c r="B63" s="13" t="s">
        <v>204</v>
      </c>
      <c r="C63" s="12" t="s">
        <v>22</v>
      </c>
      <c r="D63" s="12" t="s">
        <v>20</v>
      </c>
      <c r="E63" s="11" t="n">
        <v>0</v>
      </c>
      <c r="F63" s="12" t="s">
        <v>829</v>
      </c>
      <c r="G63" s="12" t="s">
        <v>865</v>
      </c>
      <c r="H63" s="12" t="s">
        <v>906</v>
      </c>
    </row>
    <row r="64" customFormat="false" ht="15" hidden="false" customHeight="false" outlineLevel="0" collapsed="false">
      <c r="A64" s="16" t="n">
        <v>45961</v>
      </c>
      <c r="B64" s="13" t="s">
        <v>494</v>
      </c>
      <c r="C64" s="12" t="s">
        <v>24</v>
      </c>
      <c r="D64" s="12" t="s">
        <v>20</v>
      </c>
      <c r="E64" s="13" t="n">
        <v>5</v>
      </c>
      <c r="F64" s="12" t="s">
        <v>829</v>
      </c>
      <c r="G64" s="12" t="s">
        <v>856</v>
      </c>
      <c r="H64" s="12" t="s">
        <v>907</v>
      </c>
    </row>
    <row r="65" customFormat="false" ht="15" hidden="false" customHeight="false" outlineLevel="0" collapsed="false">
      <c r="A65" s="16" t="n">
        <v>45967</v>
      </c>
      <c r="B65" s="13" t="s">
        <v>199</v>
      </c>
      <c r="C65" s="12" t="s">
        <v>22</v>
      </c>
      <c r="D65" s="12" t="s">
        <v>19</v>
      </c>
      <c r="E65" s="11" t="n">
        <v>0</v>
      </c>
      <c r="F65" s="12" t="s">
        <v>829</v>
      </c>
      <c r="G65" s="12" t="s">
        <v>875</v>
      </c>
      <c r="H65" s="12" t="s">
        <v>908</v>
      </c>
    </row>
    <row r="66" customFormat="false" ht="15" hidden="false" customHeight="false" outlineLevel="0" collapsed="false">
      <c r="A66" s="16" t="n">
        <v>45986</v>
      </c>
      <c r="B66" s="13" t="s">
        <v>69</v>
      </c>
      <c r="C66" s="12" t="s">
        <v>22</v>
      </c>
      <c r="D66" s="12" t="s">
        <v>19</v>
      </c>
      <c r="E66" s="13" t="n">
        <v>4</v>
      </c>
      <c r="F66" s="12" t="s">
        <v>829</v>
      </c>
      <c r="G66" s="12" t="s">
        <v>909</v>
      </c>
      <c r="H66" s="12" t="s">
        <v>910</v>
      </c>
    </row>
    <row r="67" customFormat="false" ht="15" hidden="false" customHeight="false" outlineLevel="0" collapsed="false">
      <c r="A67" s="16" t="n">
        <v>45987</v>
      </c>
      <c r="B67" s="13" t="s">
        <v>376</v>
      </c>
      <c r="C67" s="12" t="s">
        <v>23</v>
      </c>
      <c r="D67" s="12" t="s">
        <v>19</v>
      </c>
      <c r="E67" s="11" t="n">
        <v>0</v>
      </c>
      <c r="F67" s="12" t="s">
        <v>829</v>
      </c>
      <c r="G67" s="12" t="s">
        <v>871</v>
      </c>
      <c r="H67" s="12" t="s">
        <v>911</v>
      </c>
    </row>
    <row r="68" customFormat="false" ht="15" hidden="false" customHeight="false" outlineLevel="0" collapsed="false">
      <c r="A68" s="16" t="n">
        <v>45994</v>
      </c>
      <c r="B68" s="13" t="s">
        <v>545</v>
      </c>
      <c r="C68" s="12" t="s">
        <v>24</v>
      </c>
      <c r="D68" s="12" t="s">
        <v>20</v>
      </c>
      <c r="E68" s="13" t="n">
        <v>3</v>
      </c>
      <c r="F68" s="12" t="s">
        <v>829</v>
      </c>
      <c r="G68" s="12" t="s">
        <v>856</v>
      </c>
      <c r="H68" s="12" t="s">
        <v>912</v>
      </c>
    </row>
    <row r="69" customFormat="false" ht="15" hidden="false" customHeight="false" outlineLevel="0" collapsed="false">
      <c r="A69" s="16" t="n">
        <v>46028</v>
      </c>
      <c r="B69" s="13" t="s">
        <v>373</v>
      </c>
      <c r="C69" s="12" t="s">
        <v>23</v>
      </c>
      <c r="D69" s="12" t="s">
        <v>20</v>
      </c>
      <c r="E69" s="11" t="n">
        <v>0</v>
      </c>
      <c r="F69" s="12" t="s">
        <v>829</v>
      </c>
      <c r="G69" s="12" t="s">
        <v>913</v>
      </c>
      <c r="H69" s="12" t="s">
        <v>914</v>
      </c>
    </row>
    <row r="70" customFormat="false" ht="15" hidden="false" customHeight="false" outlineLevel="0" collapsed="false">
      <c r="A70" s="16" t="n">
        <v>46037</v>
      </c>
      <c r="B70" s="13" t="s">
        <v>202</v>
      </c>
      <c r="C70" s="12" t="s">
        <v>22</v>
      </c>
      <c r="D70" s="12" t="s">
        <v>20</v>
      </c>
      <c r="E70" s="11" t="n">
        <v>0</v>
      </c>
      <c r="F70" s="12" t="s">
        <v>829</v>
      </c>
      <c r="G70" s="12" t="s">
        <v>865</v>
      </c>
      <c r="H70" s="12" t="s">
        <v>915</v>
      </c>
    </row>
    <row r="71" customFormat="false" ht="15" hidden="false" customHeight="false" outlineLevel="0" collapsed="false">
      <c r="A71" s="16" t="n">
        <v>46040</v>
      </c>
      <c r="B71" s="13" t="s">
        <v>491</v>
      </c>
      <c r="C71" s="12" t="s">
        <v>24</v>
      </c>
      <c r="D71" s="12" t="s">
        <v>20</v>
      </c>
      <c r="E71" s="13" t="n">
        <v>4</v>
      </c>
      <c r="F71" s="12" t="s">
        <v>829</v>
      </c>
      <c r="G71" s="12" t="s">
        <v>856</v>
      </c>
      <c r="H71" s="12" t="s">
        <v>916</v>
      </c>
    </row>
    <row r="72" customFormat="false" ht="15" hidden="false" customHeight="false" outlineLevel="0" collapsed="false">
      <c r="A72" s="16" t="n">
        <v>46046</v>
      </c>
      <c r="B72" s="13" t="s">
        <v>517</v>
      </c>
      <c r="C72" s="12" t="s">
        <v>24</v>
      </c>
      <c r="D72" s="12" t="s">
        <v>20</v>
      </c>
      <c r="E72" s="13" t="n">
        <v>5</v>
      </c>
      <c r="F72" s="11" t="s">
        <v>917</v>
      </c>
      <c r="G72" s="12" t="s">
        <v>918</v>
      </c>
      <c r="H72" s="12" t="s">
        <v>919</v>
      </c>
    </row>
    <row r="73" customFormat="false" ht="15" hidden="false" customHeight="false" outlineLevel="0" collapsed="false">
      <c r="A73" s="16" t="n">
        <v>46046</v>
      </c>
      <c r="B73" s="13" t="s">
        <v>493</v>
      </c>
      <c r="C73" s="12" t="s">
        <v>24</v>
      </c>
      <c r="D73" s="12" t="s">
        <v>20</v>
      </c>
      <c r="E73" s="13" t="n">
        <v>2</v>
      </c>
      <c r="F73" s="11" t="s">
        <v>917</v>
      </c>
      <c r="G73" s="12" t="s">
        <v>918</v>
      </c>
      <c r="H73" s="12" t="s">
        <v>919</v>
      </c>
    </row>
    <row r="74" customFormat="false" ht="15" hidden="false" customHeight="false" outlineLevel="0" collapsed="false">
      <c r="A74" s="16" t="n">
        <v>46077</v>
      </c>
      <c r="B74" s="13" t="s">
        <v>382</v>
      </c>
      <c r="C74" s="12" t="s">
        <v>23</v>
      </c>
      <c r="D74" s="12" t="s">
        <v>19</v>
      </c>
      <c r="E74" s="11" t="n">
        <v>0</v>
      </c>
      <c r="F74" s="12" t="s">
        <v>829</v>
      </c>
      <c r="G74" s="12" t="s">
        <v>864</v>
      </c>
      <c r="H74" s="12" t="s">
        <v>920</v>
      </c>
    </row>
    <row r="75" customFormat="false" ht="15" hidden="false" customHeight="false" outlineLevel="0" collapsed="false">
      <c r="A75" s="16" t="n">
        <v>46080</v>
      </c>
      <c r="B75" s="13" t="s">
        <v>380</v>
      </c>
      <c r="C75" s="12" t="s">
        <v>23</v>
      </c>
      <c r="D75" s="12" t="s">
        <v>20</v>
      </c>
      <c r="E75" s="11" t="n">
        <v>0</v>
      </c>
      <c r="F75" s="12" t="s">
        <v>829</v>
      </c>
      <c r="G75" s="12" t="s">
        <v>843</v>
      </c>
      <c r="H75" s="12" t="s">
        <v>921</v>
      </c>
    </row>
    <row r="76" customFormat="false" ht="15" hidden="false" customHeight="false" outlineLevel="0" collapsed="false">
      <c r="A76" s="16" t="n">
        <v>46084</v>
      </c>
      <c r="B76" s="13" t="s">
        <v>301</v>
      </c>
      <c r="C76" s="12" t="s">
        <v>23</v>
      </c>
      <c r="D76" s="12" t="s">
        <v>20</v>
      </c>
      <c r="E76" s="13" t="n">
        <v>2</v>
      </c>
      <c r="F76" s="12" t="s">
        <v>829</v>
      </c>
      <c r="G76" s="12" t="s">
        <v>843</v>
      </c>
      <c r="H76" s="12" t="s">
        <v>922</v>
      </c>
    </row>
    <row r="77" customFormat="false" ht="15" hidden="false" customHeight="false" outlineLevel="0" collapsed="false">
      <c r="A77" s="16" t="n">
        <v>46133</v>
      </c>
      <c r="B77" s="13" t="s">
        <v>152</v>
      </c>
      <c r="C77" s="12" t="s">
        <v>22</v>
      </c>
      <c r="D77" s="12" t="s">
        <v>19</v>
      </c>
      <c r="E77" s="13" t="n">
        <v>1</v>
      </c>
      <c r="F77" s="11" t="s">
        <v>923</v>
      </c>
      <c r="G77" s="12" t="s">
        <v>924</v>
      </c>
      <c r="H77" s="12" t="s">
        <v>925</v>
      </c>
    </row>
    <row r="78" customFormat="false" ht="15" hidden="false" customHeight="false" outlineLevel="0" collapsed="false">
      <c r="A78" s="16" t="n">
        <v>46137</v>
      </c>
      <c r="B78" s="11" t="s">
        <v>39</v>
      </c>
      <c r="C78" s="12" t="s">
        <v>22</v>
      </c>
      <c r="D78" s="12" t="s">
        <v>20</v>
      </c>
      <c r="E78" s="13" t="n">
        <v>6</v>
      </c>
      <c r="F78" s="12" t="s">
        <v>829</v>
      </c>
      <c r="G78" s="12" t="s">
        <v>926</v>
      </c>
      <c r="H78" s="12" t="s">
        <v>927</v>
      </c>
    </row>
    <row r="79" customFormat="false" ht="15" hidden="false" customHeight="false" outlineLevel="0" collapsed="false">
      <c r="A79" s="16" t="n">
        <v>46137</v>
      </c>
      <c r="B79" s="11" t="s">
        <v>67</v>
      </c>
      <c r="C79" s="12" t="s">
        <v>22</v>
      </c>
      <c r="D79" s="12" t="s">
        <v>19</v>
      </c>
      <c r="E79" s="11" t="n">
        <v>0</v>
      </c>
      <c r="F79" s="12" t="s">
        <v>829</v>
      </c>
      <c r="G79" s="12" t="s">
        <v>926</v>
      </c>
      <c r="H79" s="12" t="s">
        <v>927</v>
      </c>
    </row>
    <row r="80" customFormat="false" ht="15" hidden="false" customHeight="false" outlineLevel="0" collapsed="false">
      <c r="A80" s="16" t="n">
        <v>46139</v>
      </c>
      <c r="B80" s="11" t="s">
        <v>44</v>
      </c>
      <c r="C80" s="12" t="s">
        <v>22</v>
      </c>
      <c r="D80" s="12" t="s">
        <v>20</v>
      </c>
      <c r="E80" s="13" t="n">
        <v>5</v>
      </c>
      <c r="F80" s="12" t="s">
        <v>829</v>
      </c>
      <c r="G80" s="12" t="s">
        <v>928</v>
      </c>
      <c r="H80" s="12" t="s">
        <v>929</v>
      </c>
    </row>
    <row r="81" customFormat="false" ht="15" hidden="false" customHeight="false" outlineLevel="0" collapsed="false">
      <c r="A81" s="16" t="n">
        <v>46146</v>
      </c>
      <c r="B81" s="13" t="s">
        <v>605</v>
      </c>
      <c r="C81" s="12" t="s">
        <v>24</v>
      </c>
      <c r="D81" s="12" t="s">
        <v>19</v>
      </c>
      <c r="E81" s="11" t="n">
        <v>0</v>
      </c>
      <c r="F81" s="12" t="s">
        <v>829</v>
      </c>
      <c r="G81" s="12" t="s">
        <v>930</v>
      </c>
      <c r="H81" s="12" t="s">
        <v>931</v>
      </c>
    </row>
    <row r="82" customFormat="false" ht="15" hidden="false" customHeight="false" outlineLevel="0" collapsed="false">
      <c r="A82" s="16" t="n">
        <v>46146</v>
      </c>
      <c r="B82" s="13" t="s">
        <v>606</v>
      </c>
      <c r="C82" s="12" t="s">
        <v>24</v>
      </c>
      <c r="D82" s="12" t="s">
        <v>20</v>
      </c>
      <c r="E82" s="11" t="n">
        <v>0</v>
      </c>
      <c r="F82" s="12" t="s">
        <v>829</v>
      </c>
      <c r="G82" s="12" t="s">
        <v>930</v>
      </c>
      <c r="H82" s="12" t="s">
        <v>931</v>
      </c>
    </row>
    <row r="83" customFormat="false" ht="15" hidden="false" customHeight="false" outlineLevel="0" collapsed="false">
      <c r="A83" s="16" t="n">
        <v>46158</v>
      </c>
      <c r="B83" s="13" t="s">
        <v>166</v>
      </c>
      <c r="C83" s="12" t="s">
        <v>22</v>
      </c>
      <c r="D83" s="12" t="s">
        <v>20</v>
      </c>
      <c r="E83" s="13" t="n">
        <v>2</v>
      </c>
      <c r="F83" s="12" t="s">
        <v>829</v>
      </c>
      <c r="G83" s="12" t="s">
        <v>928</v>
      </c>
      <c r="H83" s="12" t="s">
        <v>932</v>
      </c>
    </row>
    <row r="84" customFormat="false" ht="15" hidden="false" customHeight="false" outlineLevel="0" collapsed="false">
      <c r="A84" s="16" t="n">
        <v>46159</v>
      </c>
      <c r="B84" s="13" t="s">
        <v>615</v>
      </c>
      <c r="C84" s="12" t="s">
        <v>24</v>
      </c>
      <c r="D84" s="12" t="s">
        <v>20</v>
      </c>
      <c r="E84" s="11" t="n">
        <v>0</v>
      </c>
      <c r="F84" s="12" t="s">
        <v>829</v>
      </c>
      <c r="G84" s="12" t="s">
        <v>852</v>
      </c>
      <c r="H84" s="12" t="s">
        <v>774</v>
      </c>
    </row>
    <row r="85" customFormat="false" ht="15" hidden="false" customHeight="false" outlineLevel="0" collapsed="false">
      <c r="A85" s="16" t="n">
        <v>46160</v>
      </c>
      <c r="B85" s="13" t="s">
        <v>226</v>
      </c>
      <c r="C85" s="12" t="s">
        <v>22</v>
      </c>
      <c r="D85" s="12" t="s">
        <v>19</v>
      </c>
      <c r="E85" s="11" t="n">
        <v>0</v>
      </c>
      <c r="F85" s="12" t="s">
        <v>829</v>
      </c>
      <c r="G85" s="12" t="s">
        <v>875</v>
      </c>
      <c r="H85" s="12" t="s">
        <v>775</v>
      </c>
    </row>
    <row r="86" customFormat="false" ht="15" hidden="false" customHeight="false" outlineLevel="0" collapsed="false">
      <c r="A86" s="16" t="n">
        <v>46160</v>
      </c>
      <c r="B86" s="13" t="s">
        <v>613</v>
      </c>
      <c r="C86" s="12" t="s">
        <v>24</v>
      </c>
      <c r="D86" s="12" t="s">
        <v>19</v>
      </c>
      <c r="E86" s="11" t="n">
        <v>0</v>
      </c>
      <c r="F86" s="12" t="s">
        <v>829</v>
      </c>
      <c r="G86" s="12" t="s">
        <v>871</v>
      </c>
      <c r="H86" s="12" t="s">
        <v>933</v>
      </c>
    </row>
    <row r="87" customFormat="false" ht="15" hidden="false" customHeight="false" outlineLevel="0" collapsed="false">
      <c r="A87" s="16" t="n">
        <v>46169</v>
      </c>
      <c r="B87" s="11" t="s">
        <v>413</v>
      </c>
      <c r="C87" s="12" t="s">
        <v>24</v>
      </c>
      <c r="D87" s="12" t="s">
        <v>19</v>
      </c>
      <c r="E87" s="11" t="n">
        <v>0</v>
      </c>
      <c r="F87" s="11" t="s">
        <v>917</v>
      </c>
      <c r="G87" s="12" t="s">
        <v>934</v>
      </c>
      <c r="H87" s="12" t="s">
        <v>935</v>
      </c>
    </row>
    <row r="88" customFormat="false" ht="15" hidden="false" customHeight="false" outlineLevel="0" collapsed="false">
      <c r="A88" s="16" t="n">
        <v>46174</v>
      </c>
      <c r="B88" s="13" t="s">
        <v>465</v>
      </c>
      <c r="C88" s="12" t="s">
        <v>24</v>
      </c>
      <c r="D88" s="12" t="s">
        <v>20</v>
      </c>
      <c r="E88" s="13" t="n">
        <v>6</v>
      </c>
      <c r="F88" s="12" t="s">
        <v>829</v>
      </c>
      <c r="G88" s="12" t="s">
        <v>856</v>
      </c>
      <c r="H88" s="12" t="s">
        <v>936</v>
      </c>
    </row>
    <row r="89" customFormat="false" ht="15" hidden="false" customHeight="false" outlineLevel="0" collapsed="false">
      <c r="A89" s="16" t="n">
        <v>46183</v>
      </c>
      <c r="B89" s="13" t="s">
        <v>528</v>
      </c>
      <c r="C89" s="12" t="s">
        <v>24</v>
      </c>
      <c r="D89" s="12" t="s">
        <v>20</v>
      </c>
      <c r="E89" s="13" t="n">
        <v>4</v>
      </c>
      <c r="F89" s="12" t="s">
        <v>829</v>
      </c>
      <c r="G89" s="12" t="s">
        <v>856</v>
      </c>
      <c r="H89" s="12" t="s">
        <v>937</v>
      </c>
    </row>
    <row r="90" customFormat="false" ht="15" hidden="false" customHeight="false" outlineLevel="0" collapsed="false">
      <c r="A90" s="16" t="n">
        <v>46190</v>
      </c>
      <c r="B90" s="13" t="s">
        <v>230</v>
      </c>
      <c r="C90" s="12" t="s">
        <v>22</v>
      </c>
      <c r="D90" s="12" t="s">
        <v>19</v>
      </c>
      <c r="E90" s="11" t="n">
        <v>0</v>
      </c>
      <c r="F90" s="12" t="s">
        <v>829</v>
      </c>
      <c r="G90" s="12" t="s">
        <v>875</v>
      </c>
      <c r="H90" s="12" t="s">
        <v>938</v>
      </c>
    </row>
    <row r="91" customFormat="false" ht="15" hidden="false" customHeight="false" outlineLevel="0" collapsed="false">
      <c r="A91" s="16" t="n">
        <v>46200</v>
      </c>
      <c r="B91" s="13" t="s">
        <v>623</v>
      </c>
      <c r="C91" s="12" t="s">
        <v>24</v>
      </c>
      <c r="D91" s="12" t="s">
        <v>20</v>
      </c>
      <c r="E91" s="11" t="n">
        <v>0</v>
      </c>
      <c r="F91" s="12" t="s">
        <v>829</v>
      </c>
      <c r="G91" s="12" t="s">
        <v>845</v>
      </c>
      <c r="H91" s="12" t="s">
        <v>939</v>
      </c>
    </row>
    <row r="92" customFormat="false" ht="15" hidden="false" customHeight="false" outlineLevel="0" collapsed="false">
      <c r="A92" s="16" t="n">
        <v>46204</v>
      </c>
      <c r="B92" s="13" t="s">
        <v>219</v>
      </c>
      <c r="C92" s="12" t="s">
        <v>22</v>
      </c>
      <c r="D92" s="12" t="s">
        <v>20</v>
      </c>
      <c r="E92" s="11" t="n">
        <v>0</v>
      </c>
      <c r="F92" s="12" t="s">
        <v>829</v>
      </c>
      <c r="G92" s="12" t="s">
        <v>865</v>
      </c>
      <c r="H92" s="12" t="s">
        <v>940</v>
      </c>
    </row>
    <row r="93" customFormat="false" ht="15" hidden="false" customHeight="false" outlineLevel="0" collapsed="false">
      <c r="A93" s="16" t="n">
        <v>46204</v>
      </c>
      <c r="B93" s="13" t="s">
        <v>371</v>
      </c>
      <c r="C93" s="12" t="s">
        <v>23</v>
      </c>
      <c r="D93" s="12" t="s">
        <v>20</v>
      </c>
      <c r="E93" s="11" t="n">
        <v>0</v>
      </c>
      <c r="F93" s="12" t="s">
        <v>829</v>
      </c>
      <c r="G93" s="12" t="s">
        <v>845</v>
      </c>
      <c r="H93" s="12" t="s">
        <v>802</v>
      </c>
    </row>
    <row r="94" customFormat="false" ht="15" hidden="false" customHeight="false" outlineLevel="0" collapsed="false">
      <c r="A94" s="16" t="n">
        <v>46209</v>
      </c>
      <c r="B94" s="13" t="s">
        <v>397</v>
      </c>
      <c r="C94" s="12" t="s">
        <v>23</v>
      </c>
      <c r="D94" s="12" t="s">
        <v>19</v>
      </c>
      <c r="E94" s="11" t="n">
        <v>0</v>
      </c>
      <c r="F94" s="12" t="s">
        <v>829</v>
      </c>
      <c r="G94" s="12" t="s">
        <v>871</v>
      </c>
      <c r="H94" s="12" t="s">
        <v>941</v>
      </c>
    </row>
    <row r="95" customFormat="false" ht="15" hidden="false" customHeight="false" outlineLevel="0" collapsed="false">
      <c r="A95" s="16" t="n">
        <v>46212</v>
      </c>
      <c r="B95" s="13" t="s">
        <v>596</v>
      </c>
      <c r="C95" s="12" t="s">
        <v>24</v>
      </c>
      <c r="D95" s="12" t="s">
        <v>19</v>
      </c>
      <c r="E95" s="11" t="n">
        <v>0</v>
      </c>
      <c r="F95" s="12" t="s">
        <v>829</v>
      </c>
      <c r="G95" s="12" t="s">
        <v>847</v>
      </c>
      <c r="H95" s="12" t="s">
        <v>942</v>
      </c>
    </row>
    <row r="96" customFormat="false" ht="15" hidden="false" customHeight="false" outlineLevel="0" collapsed="false">
      <c r="A96" s="16" t="n">
        <v>46237</v>
      </c>
      <c r="B96" s="11" t="s">
        <v>244</v>
      </c>
      <c r="C96" s="12" t="s">
        <v>23</v>
      </c>
      <c r="D96" s="12" t="s">
        <v>20</v>
      </c>
      <c r="E96" s="13" t="n">
        <v>5</v>
      </c>
      <c r="F96" s="11" t="s">
        <v>943</v>
      </c>
      <c r="G96" s="12" t="s">
        <v>843</v>
      </c>
      <c r="H96" s="12" t="s">
        <v>813</v>
      </c>
    </row>
    <row r="97" customFormat="false" ht="15" hidden="false" customHeight="false" outlineLevel="0" collapsed="false">
      <c r="A97" s="16" t="n">
        <v>46244</v>
      </c>
      <c r="B97" s="13" t="s">
        <v>401</v>
      </c>
      <c r="C97" s="12" t="s">
        <v>23</v>
      </c>
      <c r="D97" s="12" t="s">
        <v>19</v>
      </c>
      <c r="E97" s="11" t="n">
        <v>0</v>
      </c>
      <c r="F97" s="12" t="s">
        <v>829</v>
      </c>
      <c r="G97" s="12" t="s">
        <v>845</v>
      </c>
      <c r="H97" s="12" t="s">
        <v>944</v>
      </c>
    </row>
    <row r="98" customFormat="false" ht="15" hidden="false" customHeight="false" outlineLevel="0" collapsed="false">
      <c r="A98" s="16" t="n">
        <v>46244</v>
      </c>
      <c r="B98" s="13" t="s">
        <v>399</v>
      </c>
      <c r="C98" s="12" t="s">
        <v>23</v>
      </c>
      <c r="D98" s="12" t="s">
        <v>20</v>
      </c>
      <c r="E98" s="11" t="n">
        <v>0</v>
      </c>
      <c r="F98" s="12" t="s">
        <v>829</v>
      </c>
      <c r="G98" s="12" t="s">
        <v>845</v>
      </c>
      <c r="H98" s="12" t="s">
        <v>944</v>
      </c>
    </row>
    <row r="99" customFormat="false" ht="15" hidden="false" customHeight="false" outlineLevel="0" collapsed="false">
      <c r="A99" s="16" t="n">
        <v>46245</v>
      </c>
      <c r="B99" s="13" t="s">
        <v>631</v>
      </c>
      <c r="C99" s="12" t="s">
        <v>24</v>
      </c>
      <c r="D99" s="12" t="s">
        <v>19</v>
      </c>
      <c r="E99" s="11" t="n">
        <v>0</v>
      </c>
      <c r="F99" s="12" t="s">
        <v>829</v>
      </c>
      <c r="G99" s="12" t="s">
        <v>894</v>
      </c>
      <c r="H99" s="12" t="s">
        <v>945</v>
      </c>
    </row>
    <row r="100" customFormat="false" ht="15" hidden="false" customHeight="false" outlineLevel="0" collapsed="false">
      <c r="A100" s="16" t="n">
        <v>46250</v>
      </c>
      <c r="B100" s="13" t="s">
        <v>637</v>
      </c>
      <c r="C100" s="12" t="s">
        <v>24</v>
      </c>
      <c r="D100" s="12" t="s">
        <v>19</v>
      </c>
      <c r="E100" s="11" t="n">
        <v>0</v>
      </c>
      <c r="F100" s="11" t="s">
        <v>946</v>
      </c>
      <c r="G100" s="12" t="s">
        <v>947</v>
      </c>
      <c r="H100" s="12" t="s">
        <v>948</v>
      </c>
    </row>
    <row r="101" customFormat="false" ht="15" hidden="false" customHeight="false" outlineLevel="0" collapsed="false">
      <c r="A101" s="16" t="n">
        <v>46250</v>
      </c>
      <c r="B101" s="13" t="s">
        <v>635</v>
      </c>
      <c r="C101" s="12" t="s">
        <v>24</v>
      </c>
      <c r="D101" s="12" t="s">
        <v>19</v>
      </c>
      <c r="E101" s="11" t="n">
        <v>0</v>
      </c>
      <c r="F101" s="11" t="s">
        <v>946</v>
      </c>
      <c r="G101" s="12" t="s">
        <v>947</v>
      </c>
      <c r="H101" s="12" t="s">
        <v>948</v>
      </c>
    </row>
    <row r="102" customFormat="false" ht="15" hidden="false" customHeight="false" outlineLevel="0" collapsed="false">
      <c r="A102" s="16" t="n">
        <v>46252</v>
      </c>
      <c r="B102" s="13" t="s">
        <v>636</v>
      </c>
      <c r="C102" s="12" t="s">
        <v>24</v>
      </c>
      <c r="D102" s="12" t="s">
        <v>19</v>
      </c>
      <c r="E102" s="11" t="n">
        <v>0</v>
      </c>
      <c r="F102" s="12" t="s">
        <v>829</v>
      </c>
      <c r="G102" s="12" t="s">
        <v>850</v>
      </c>
      <c r="H102" s="12" t="s">
        <v>949</v>
      </c>
    </row>
    <row r="103" customFormat="false" ht="15" hidden="false" customHeight="false" outlineLevel="0" collapsed="false">
      <c r="A103" s="16" t="n">
        <v>46260</v>
      </c>
      <c r="B103" s="13" t="s">
        <v>406</v>
      </c>
      <c r="C103" s="12" t="s">
        <v>23</v>
      </c>
      <c r="D103" s="12" t="s">
        <v>20</v>
      </c>
      <c r="E103" s="11" t="n">
        <v>0</v>
      </c>
      <c r="F103" s="12" t="s">
        <v>829</v>
      </c>
      <c r="G103" s="12" t="s">
        <v>845</v>
      </c>
      <c r="H103" s="12" t="s">
        <v>950</v>
      </c>
    </row>
    <row r="104" customFormat="false" ht="15" hidden="false" customHeight="false" outlineLevel="0" collapsed="false">
      <c r="A104" s="16" t="n">
        <v>46260</v>
      </c>
      <c r="B104" s="13" t="s">
        <v>638</v>
      </c>
      <c r="C104" s="12" t="s">
        <v>24</v>
      </c>
      <c r="D104" s="12" t="s">
        <v>19</v>
      </c>
      <c r="E104" s="11" t="n">
        <v>0</v>
      </c>
      <c r="F104" s="12" t="s">
        <v>829</v>
      </c>
      <c r="G104" s="12" t="s">
        <v>850</v>
      </c>
      <c r="H104" s="12" t="s">
        <v>951</v>
      </c>
    </row>
    <row r="105" customFormat="false" ht="15" hidden="false" customHeight="false" outlineLevel="0" collapsed="false">
      <c r="A105" s="16" t="n">
        <v>46263</v>
      </c>
      <c r="B105" s="13" t="s">
        <v>620</v>
      </c>
      <c r="C105" s="12" t="s">
        <v>24</v>
      </c>
      <c r="D105" s="12" t="s">
        <v>20</v>
      </c>
      <c r="E105" s="11" t="n">
        <v>0</v>
      </c>
      <c r="F105" s="11" t="s">
        <v>952</v>
      </c>
      <c r="G105" s="12" t="s">
        <v>871</v>
      </c>
      <c r="H105" s="12" t="s">
        <v>953</v>
      </c>
    </row>
    <row r="106" customFormat="false" ht="15" hidden="false" customHeight="false" outlineLevel="0" collapsed="false">
      <c r="A106" s="16" t="n">
        <v>46263</v>
      </c>
      <c r="B106" s="13" t="s">
        <v>632</v>
      </c>
      <c r="C106" s="12" t="s">
        <v>24</v>
      </c>
      <c r="D106" s="12" t="s">
        <v>19</v>
      </c>
      <c r="E106" s="11" t="n">
        <v>0</v>
      </c>
      <c r="F106" s="11" t="s">
        <v>954</v>
      </c>
      <c r="G106" s="12" t="s">
        <v>871</v>
      </c>
      <c r="H106" s="12" t="s">
        <v>953</v>
      </c>
    </row>
    <row r="107" customFormat="false" ht="15" hidden="false" customHeight="false" outlineLevel="0" collapsed="false">
      <c r="A107" s="16" t="n">
        <v>46265</v>
      </c>
      <c r="B107" s="13" t="s">
        <v>375</v>
      </c>
      <c r="C107" s="12" t="s">
        <v>23</v>
      </c>
      <c r="D107" s="12" t="s">
        <v>20</v>
      </c>
      <c r="E107" s="11" t="n">
        <v>0</v>
      </c>
      <c r="F107" s="11" t="s">
        <v>955</v>
      </c>
      <c r="G107" s="12" t="s">
        <v>843</v>
      </c>
      <c r="H107" s="12" t="s">
        <v>956</v>
      </c>
    </row>
    <row r="108" customFormat="false" ht="15" hidden="false" customHeight="false" outlineLevel="0" collapsed="false">
      <c r="A108" s="16" t="n">
        <v>46270</v>
      </c>
      <c r="B108" s="13" t="s">
        <v>640</v>
      </c>
      <c r="C108" s="12" t="s">
        <v>24</v>
      </c>
      <c r="D108" s="12" t="s">
        <v>19</v>
      </c>
      <c r="E108" s="11" t="n">
        <v>0</v>
      </c>
      <c r="F108" s="12" t="s">
        <v>829</v>
      </c>
      <c r="G108" s="12" t="s">
        <v>850</v>
      </c>
      <c r="H108" s="12" t="s">
        <v>957</v>
      </c>
    </row>
    <row r="109" customFormat="false" ht="15" hidden="false" customHeight="false" outlineLevel="0" collapsed="false">
      <c r="A109" s="16" t="n">
        <v>46274</v>
      </c>
      <c r="B109" s="13" t="s">
        <v>628</v>
      </c>
      <c r="C109" s="12" t="s">
        <v>24</v>
      </c>
      <c r="D109" s="12" t="s">
        <v>19</v>
      </c>
      <c r="E109" s="11" t="n">
        <v>0</v>
      </c>
      <c r="F109" s="12" t="s">
        <v>829</v>
      </c>
      <c r="G109" s="12" t="s">
        <v>871</v>
      </c>
      <c r="H109" s="12" t="s">
        <v>958</v>
      </c>
    </row>
    <row r="110" customFormat="false" ht="15" hidden="false" customHeight="false" outlineLevel="0" collapsed="false">
      <c r="A110" s="16" t="n">
        <v>46281</v>
      </c>
      <c r="B110" s="13" t="s">
        <v>639</v>
      </c>
      <c r="C110" s="12" t="s">
        <v>24</v>
      </c>
      <c r="D110" s="12" t="s">
        <v>20</v>
      </c>
      <c r="E110" s="11" t="n">
        <v>0</v>
      </c>
      <c r="F110" s="12" t="s">
        <v>829</v>
      </c>
      <c r="G110" s="12" t="s">
        <v>852</v>
      </c>
      <c r="H110" s="12" t="s">
        <v>959</v>
      </c>
    </row>
  </sheetData>
  <autoFilter ref="A1:H110"/>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9"/>
    <col collapsed="false" customWidth="true" hidden="false" outlineLevel="0" max="4" min="4" style="0" width="8"/>
    <col collapsed="false" customWidth="true" hidden="false" outlineLevel="0" max="5" min="5" style="0" width="24"/>
    <col collapsed="false" customWidth="true" hidden="false" outlineLevel="0" max="6" min="6" style="0" width="13"/>
    <col collapsed="false" customWidth="true" hidden="false" outlineLevel="0" max="7" min="7" style="0" width="22"/>
    <col collapsed="false" customWidth="true" hidden="false" outlineLevel="0" max="8" min="8" style="0" width="11"/>
    <col collapsed="false" customWidth="true" hidden="false" outlineLevel="0" max="9" min="9" style="0" width="46"/>
    <col collapsed="false" customWidth="true" hidden="false" outlineLevel="0" max="10" min="10" style="0" width="30"/>
    <col collapsed="false" customWidth="true" hidden="false" outlineLevel="0" max="11" min="11" style="0" width="70"/>
  </cols>
  <sheetData>
    <row r="1" customFormat="false" ht="23.85" hidden="false" customHeight="false" outlineLevel="0" collapsed="false">
      <c r="A1" s="10" t="s">
        <v>642</v>
      </c>
      <c r="B1" s="10" t="s">
        <v>26</v>
      </c>
      <c r="C1" s="10" t="s">
        <v>18</v>
      </c>
      <c r="D1" s="10" t="s">
        <v>27</v>
      </c>
      <c r="E1" s="10" t="s">
        <v>960</v>
      </c>
      <c r="F1" s="10" t="s">
        <v>961</v>
      </c>
      <c r="G1" s="10" t="s">
        <v>962</v>
      </c>
      <c r="H1" s="10" t="s">
        <v>963</v>
      </c>
      <c r="I1" s="10" t="s">
        <v>964</v>
      </c>
      <c r="J1" s="10" t="s">
        <v>828</v>
      </c>
      <c r="K1" s="10" t="s">
        <v>646</v>
      </c>
    </row>
    <row r="2" customFormat="false" ht="15" hidden="false" customHeight="false" outlineLevel="0" collapsed="false">
      <c r="A2" s="16" t="n">
        <v>45728</v>
      </c>
      <c r="B2" s="13" t="s">
        <v>79</v>
      </c>
      <c r="C2" s="12" t="s">
        <v>22</v>
      </c>
      <c r="D2" s="12" t="s">
        <v>19</v>
      </c>
      <c r="E2" s="12" t="s">
        <v>55</v>
      </c>
      <c r="F2" s="18" t="n">
        <v>100000</v>
      </c>
      <c r="G2" s="12" t="s">
        <v>829</v>
      </c>
      <c r="H2" s="12"/>
      <c r="I2" s="12" t="s">
        <v>965</v>
      </c>
      <c r="J2" s="12" t="s">
        <v>966</v>
      </c>
      <c r="K2" s="12" t="s">
        <v>967</v>
      </c>
    </row>
    <row r="3" customFormat="false" ht="15" hidden="false" customHeight="false" outlineLevel="0" collapsed="false">
      <c r="A3" s="16" t="n">
        <v>45819</v>
      </c>
      <c r="B3" s="13" t="s">
        <v>423</v>
      </c>
      <c r="C3" s="12" t="s">
        <v>24</v>
      </c>
      <c r="D3" s="12" t="s">
        <v>19</v>
      </c>
      <c r="E3" s="12" t="s">
        <v>55</v>
      </c>
      <c r="F3" s="18" t="n">
        <v>10500</v>
      </c>
      <c r="G3" s="12" t="s">
        <v>829</v>
      </c>
      <c r="H3" s="12"/>
      <c r="I3" s="12" t="s">
        <v>968</v>
      </c>
      <c r="J3" s="12" t="s">
        <v>969</v>
      </c>
      <c r="K3" s="12" t="s">
        <v>970</v>
      </c>
    </row>
    <row r="4" customFormat="false" ht="15" hidden="false" customHeight="false" outlineLevel="0" collapsed="false">
      <c r="A4" s="16" t="n">
        <v>45819</v>
      </c>
      <c r="B4" s="13" t="s">
        <v>437</v>
      </c>
      <c r="C4" s="12" t="s">
        <v>24</v>
      </c>
      <c r="D4" s="12" t="s">
        <v>19</v>
      </c>
      <c r="E4" s="12" t="s">
        <v>55</v>
      </c>
      <c r="F4" s="18" t="n">
        <v>10500</v>
      </c>
      <c r="G4" s="12" t="s">
        <v>829</v>
      </c>
      <c r="H4" s="12"/>
      <c r="I4" s="12" t="s">
        <v>968</v>
      </c>
      <c r="J4" s="12" t="s">
        <v>969</v>
      </c>
      <c r="K4" s="12" t="s">
        <v>970</v>
      </c>
    </row>
    <row r="5" customFormat="false" ht="15" hidden="false" customHeight="false" outlineLevel="0" collapsed="false">
      <c r="A5" s="16" t="n">
        <v>45819</v>
      </c>
      <c r="B5" s="13" t="s">
        <v>519</v>
      </c>
      <c r="C5" s="12" t="s">
        <v>24</v>
      </c>
      <c r="D5" s="12" t="s">
        <v>20</v>
      </c>
      <c r="E5" s="12" t="s">
        <v>55</v>
      </c>
      <c r="F5" s="18" t="n">
        <v>9800</v>
      </c>
      <c r="G5" s="12" t="s">
        <v>829</v>
      </c>
      <c r="H5" s="12"/>
      <c r="I5" s="12" t="s">
        <v>971</v>
      </c>
      <c r="J5" s="12" t="s">
        <v>969</v>
      </c>
      <c r="K5" s="12" t="s">
        <v>970</v>
      </c>
    </row>
    <row r="6" customFormat="false" ht="15" hidden="false" customHeight="false" outlineLevel="0" collapsed="false">
      <c r="A6" s="16" t="n">
        <v>45819</v>
      </c>
      <c r="B6" s="13" t="s">
        <v>508</v>
      </c>
      <c r="C6" s="12" t="s">
        <v>24</v>
      </c>
      <c r="D6" s="12" t="s">
        <v>20</v>
      </c>
      <c r="E6" s="12" t="s">
        <v>55</v>
      </c>
      <c r="F6" s="18" t="n">
        <v>9800</v>
      </c>
      <c r="G6" s="12" t="s">
        <v>829</v>
      </c>
      <c r="H6" s="12"/>
      <c r="I6" s="12" t="s">
        <v>971</v>
      </c>
      <c r="J6" s="12" t="s">
        <v>969</v>
      </c>
      <c r="K6" s="12" t="s">
        <v>970</v>
      </c>
    </row>
    <row r="7" customFormat="false" ht="15" hidden="false" customHeight="false" outlineLevel="0" collapsed="false">
      <c r="A7" s="16" t="n">
        <v>45838</v>
      </c>
      <c r="B7" s="13" t="s">
        <v>200</v>
      </c>
      <c r="C7" s="12" t="s">
        <v>22</v>
      </c>
      <c r="D7" s="12" t="s">
        <v>19</v>
      </c>
      <c r="E7" s="12" t="s">
        <v>55</v>
      </c>
      <c r="F7" s="19" t="n">
        <v>86088</v>
      </c>
      <c r="G7" s="12" t="s">
        <v>972</v>
      </c>
      <c r="H7" s="20" t="n">
        <v>360</v>
      </c>
      <c r="I7" s="12" t="s">
        <v>973</v>
      </c>
      <c r="J7" s="12" t="s">
        <v>974</v>
      </c>
      <c r="K7" s="12" t="s">
        <v>975</v>
      </c>
    </row>
    <row r="8" customFormat="false" ht="15" hidden="false" customHeight="false" outlineLevel="0" collapsed="false">
      <c r="A8" s="16" t="n">
        <v>45838</v>
      </c>
      <c r="B8" s="13" t="s">
        <v>77</v>
      </c>
      <c r="C8" s="12" t="s">
        <v>22</v>
      </c>
      <c r="D8" s="12" t="s">
        <v>19</v>
      </c>
      <c r="E8" s="12" t="s">
        <v>55</v>
      </c>
      <c r="F8" s="19" t="n">
        <v>97545</v>
      </c>
      <c r="G8" s="12" t="s">
        <v>972</v>
      </c>
      <c r="H8" s="20" t="n">
        <v>392</v>
      </c>
      <c r="I8" s="12" t="s">
        <v>973</v>
      </c>
      <c r="J8" s="12" t="s">
        <v>974</v>
      </c>
      <c r="K8" s="12" t="s">
        <v>975</v>
      </c>
    </row>
    <row r="9" customFormat="false" ht="15" hidden="false" customHeight="false" outlineLevel="0" collapsed="false">
      <c r="A9" s="16" t="n">
        <v>45838</v>
      </c>
      <c r="B9" s="13" t="s">
        <v>103</v>
      </c>
      <c r="C9" s="12" t="s">
        <v>22</v>
      </c>
      <c r="D9" s="12" t="s">
        <v>19</v>
      </c>
      <c r="E9" s="12" t="s">
        <v>55</v>
      </c>
      <c r="F9" s="19" t="n">
        <v>76843</v>
      </c>
      <c r="G9" s="12" t="s">
        <v>972</v>
      </c>
      <c r="H9" s="20" t="n">
        <v>360</v>
      </c>
      <c r="I9" s="12" t="s">
        <v>973</v>
      </c>
      <c r="J9" s="12" t="s">
        <v>974</v>
      </c>
      <c r="K9" s="12" t="s">
        <v>975</v>
      </c>
    </row>
    <row r="10" customFormat="false" ht="15" hidden="false" customHeight="false" outlineLevel="0" collapsed="false">
      <c r="A10" s="16" t="n">
        <v>45838</v>
      </c>
      <c r="B10" s="13" t="s">
        <v>92</v>
      </c>
      <c r="C10" s="12" t="s">
        <v>22</v>
      </c>
      <c r="D10" s="12" t="s">
        <v>19</v>
      </c>
      <c r="E10" s="12" t="s">
        <v>55</v>
      </c>
      <c r="F10" s="19" t="n">
        <v>121680</v>
      </c>
      <c r="G10" s="12" t="s">
        <v>972</v>
      </c>
      <c r="H10" s="20" t="n">
        <v>459</v>
      </c>
      <c r="I10" s="12" t="s">
        <v>973</v>
      </c>
      <c r="J10" s="12" t="s">
        <v>974</v>
      </c>
      <c r="K10" s="12" t="s">
        <v>975</v>
      </c>
    </row>
    <row r="11" customFormat="false" ht="15" hidden="false" customHeight="false" outlineLevel="0" collapsed="false">
      <c r="A11" s="16" t="n">
        <v>45838</v>
      </c>
      <c r="B11" s="13" t="s">
        <v>76</v>
      </c>
      <c r="C11" s="12" t="s">
        <v>22</v>
      </c>
      <c r="D11" s="12" t="s">
        <v>19</v>
      </c>
      <c r="E11" s="12" t="s">
        <v>55</v>
      </c>
      <c r="F11" s="19" t="n">
        <v>92492</v>
      </c>
      <c r="G11" s="12" t="s">
        <v>972</v>
      </c>
      <c r="H11" s="20" t="n">
        <v>372</v>
      </c>
      <c r="I11" s="12" t="s">
        <v>973</v>
      </c>
      <c r="J11" s="12" t="s">
        <v>974</v>
      </c>
      <c r="K11" s="12" t="s">
        <v>975</v>
      </c>
    </row>
    <row r="12" customFormat="false" ht="15" hidden="false" customHeight="false" outlineLevel="0" collapsed="false">
      <c r="A12" s="16" t="n">
        <v>45838</v>
      </c>
      <c r="B12" s="13" t="s">
        <v>88</v>
      </c>
      <c r="C12" s="12" t="s">
        <v>22</v>
      </c>
      <c r="D12" s="12" t="s">
        <v>19</v>
      </c>
      <c r="E12" s="12" t="s">
        <v>55</v>
      </c>
      <c r="F12" s="19" t="n">
        <v>117145</v>
      </c>
      <c r="G12" s="12" t="s">
        <v>972</v>
      </c>
      <c r="H12" s="20" t="n">
        <v>427</v>
      </c>
      <c r="I12" s="12" t="s">
        <v>973</v>
      </c>
      <c r="J12" s="12" t="s">
        <v>974</v>
      </c>
      <c r="K12" s="12" t="s">
        <v>975</v>
      </c>
    </row>
    <row r="13" customFormat="false" ht="15" hidden="false" customHeight="false" outlineLevel="0" collapsed="false">
      <c r="A13" s="16" t="n">
        <v>45838</v>
      </c>
      <c r="B13" s="13" t="s">
        <v>86</v>
      </c>
      <c r="C13" s="12" t="s">
        <v>22</v>
      </c>
      <c r="D13" s="12" t="s">
        <v>19</v>
      </c>
      <c r="E13" s="12" t="s">
        <v>55</v>
      </c>
      <c r="F13" s="19" t="n">
        <v>101010</v>
      </c>
      <c r="G13" s="12" t="s">
        <v>972</v>
      </c>
      <c r="H13" s="20" t="n">
        <v>420</v>
      </c>
      <c r="I13" s="12" t="s">
        <v>973</v>
      </c>
      <c r="J13" s="12" t="s">
        <v>974</v>
      </c>
      <c r="K13" s="12" t="s">
        <v>975</v>
      </c>
    </row>
    <row r="14" customFormat="false" ht="15" hidden="false" customHeight="false" outlineLevel="0" collapsed="false">
      <c r="A14" s="16" t="n">
        <v>45838</v>
      </c>
      <c r="B14" s="13" t="s">
        <v>71</v>
      </c>
      <c r="C14" s="12" t="s">
        <v>22</v>
      </c>
      <c r="D14" s="12" t="s">
        <v>19</v>
      </c>
      <c r="E14" s="12" t="s">
        <v>55</v>
      </c>
      <c r="F14" s="19" t="n">
        <v>100382</v>
      </c>
      <c r="G14" s="12" t="s">
        <v>972</v>
      </c>
      <c r="H14" s="20" t="n">
        <v>420</v>
      </c>
      <c r="I14" s="12" t="s">
        <v>973</v>
      </c>
      <c r="J14" s="12" t="s">
        <v>974</v>
      </c>
      <c r="K14" s="12" t="s">
        <v>975</v>
      </c>
    </row>
    <row r="15" customFormat="false" ht="15" hidden="false" customHeight="false" outlineLevel="0" collapsed="false">
      <c r="A15" s="16" t="n">
        <v>45838</v>
      </c>
      <c r="B15" s="13" t="s">
        <v>78</v>
      </c>
      <c r="C15" s="12" t="s">
        <v>22</v>
      </c>
      <c r="D15" s="12" t="s">
        <v>19</v>
      </c>
      <c r="E15" s="12" t="s">
        <v>55</v>
      </c>
      <c r="F15" s="19" t="n">
        <v>92684</v>
      </c>
      <c r="G15" s="12" t="s">
        <v>972</v>
      </c>
      <c r="H15" s="20" t="n">
        <v>384</v>
      </c>
      <c r="I15" s="12" t="s">
        <v>973</v>
      </c>
      <c r="J15" s="12" t="s">
        <v>974</v>
      </c>
      <c r="K15" s="12" t="s">
        <v>975</v>
      </c>
    </row>
    <row r="16" customFormat="false" ht="15" hidden="false" customHeight="false" outlineLevel="0" collapsed="false">
      <c r="A16" s="16" t="n">
        <v>45838</v>
      </c>
      <c r="B16" s="13" t="s">
        <v>82</v>
      </c>
      <c r="C16" s="12" t="s">
        <v>22</v>
      </c>
      <c r="D16" s="12" t="s">
        <v>19</v>
      </c>
      <c r="E16" s="12" t="s">
        <v>55</v>
      </c>
      <c r="F16" s="19" t="n">
        <v>119630</v>
      </c>
      <c r="G16" s="12" t="s">
        <v>972</v>
      </c>
      <c r="H16" s="20" t="n">
        <v>451</v>
      </c>
      <c r="I16" s="12" t="s">
        <v>973</v>
      </c>
      <c r="J16" s="12" t="s">
        <v>974</v>
      </c>
      <c r="K16" s="12" t="s">
        <v>975</v>
      </c>
    </row>
    <row r="17" customFormat="false" ht="15" hidden="false" customHeight="false" outlineLevel="0" collapsed="false">
      <c r="A17" s="16" t="n">
        <v>45881</v>
      </c>
      <c r="B17" s="13" t="s">
        <v>99</v>
      </c>
      <c r="C17" s="12" t="s">
        <v>22</v>
      </c>
      <c r="D17" s="12" t="s">
        <v>19</v>
      </c>
      <c r="E17" s="12" t="s">
        <v>55</v>
      </c>
      <c r="F17" s="19" t="n">
        <v>93000</v>
      </c>
      <c r="G17" s="12" t="s">
        <v>829</v>
      </c>
      <c r="H17" s="20" t="n">
        <v>300</v>
      </c>
      <c r="I17" s="12" t="s">
        <v>976</v>
      </c>
      <c r="J17" s="12" t="s">
        <v>977</v>
      </c>
      <c r="K17" s="12" t="s">
        <v>978</v>
      </c>
    </row>
    <row r="18" customFormat="false" ht="15" hidden="false" customHeight="false" outlineLevel="0" collapsed="false">
      <c r="A18" s="16" t="n">
        <v>45881</v>
      </c>
      <c r="B18" s="13" t="s">
        <v>100</v>
      </c>
      <c r="C18" s="12" t="s">
        <v>22</v>
      </c>
      <c r="D18" s="12" t="s">
        <v>19</v>
      </c>
      <c r="E18" s="12" t="s">
        <v>55</v>
      </c>
      <c r="F18" s="19" t="n">
        <v>83700</v>
      </c>
      <c r="G18" s="12" t="s">
        <v>829</v>
      </c>
      <c r="H18" s="20" t="n">
        <v>270</v>
      </c>
      <c r="I18" s="12" t="s">
        <v>976</v>
      </c>
      <c r="J18" s="12" t="s">
        <v>977</v>
      </c>
      <c r="K18" s="12" t="s">
        <v>978</v>
      </c>
    </row>
    <row r="19" customFormat="false" ht="15" hidden="false" customHeight="false" outlineLevel="0" collapsed="false">
      <c r="A19" s="16" t="n">
        <v>45882</v>
      </c>
      <c r="B19" s="13" t="s">
        <v>360</v>
      </c>
      <c r="C19" s="12" t="s">
        <v>23</v>
      </c>
      <c r="D19" s="12" t="s">
        <v>19</v>
      </c>
      <c r="E19" s="12" t="s">
        <v>163</v>
      </c>
      <c r="F19" s="12"/>
      <c r="G19" s="12"/>
      <c r="H19" s="12"/>
      <c r="I19" s="12"/>
      <c r="J19" s="12" t="s">
        <v>979</v>
      </c>
      <c r="K19" s="12" t="s">
        <v>980</v>
      </c>
    </row>
    <row r="20" customFormat="false" ht="15" hidden="false" customHeight="false" outlineLevel="0" collapsed="false">
      <c r="A20" s="16" t="n">
        <v>45897</v>
      </c>
      <c r="B20" s="13" t="s">
        <v>450</v>
      </c>
      <c r="C20" s="12" t="s">
        <v>24</v>
      </c>
      <c r="D20" s="12" t="s">
        <v>19</v>
      </c>
      <c r="E20" s="12" t="s">
        <v>55</v>
      </c>
      <c r="F20" s="18" t="n">
        <v>10500</v>
      </c>
      <c r="G20" s="12" t="s">
        <v>829</v>
      </c>
      <c r="H20" s="12"/>
      <c r="I20" s="12" t="s">
        <v>968</v>
      </c>
      <c r="J20" s="12" t="s">
        <v>981</v>
      </c>
      <c r="K20" s="12" t="s">
        <v>982</v>
      </c>
    </row>
    <row r="21" customFormat="false" ht="15" hidden="false" customHeight="false" outlineLevel="0" collapsed="false">
      <c r="A21" s="16" t="n">
        <v>45900</v>
      </c>
      <c r="B21" s="13" t="s">
        <v>370</v>
      </c>
      <c r="C21" s="12" t="s">
        <v>23</v>
      </c>
      <c r="D21" s="12" t="s">
        <v>20</v>
      </c>
      <c r="E21" s="12" t="s">
        <v>163</v>
      </c>
      <c r="F21" s="12"/>
      <c r="G21" s="12"/>
      <c r="H21" s="12"/>
      <c r="I21" s="12"/>
      <c r="J21" s="12" t="s">
        <v>983</v>
      </c>
      <c r="K21" s="12" t="s">
        <v>984</v>
      </c>
    </row>
    <row r="22" customFormat="false" ht="15" hidden="false" customHeight="false" outlineLevel="0" collapsed="false">
      <c r="A22" s="16" t="n">
        <v>45901</v>
      </c>
      <c r="B22" s="13" t="s">
        <v>250</v>
      </c>
      <c r="C22" s="12" t="s">
        <v>23</v>
      </c>
      <c r="D22" s="12" t="s">
        <v>19</v>
      </c>
      <c r="E22" s="12" t="s">
        <v>55</v>
      </c>
      <c r="F22" s="18" t="n">
        <v>10500</v>
      </c>
      <c r="G22" s="12" t="s">
        <v>829</v>
      </c>
      <c r="H22" s="12"/>
      <c r="I22" s="12" t="s">
        <v>985</v>
      </c>
      <c r="J22" s="12" t="s">
        <v>986</v>
      </c>
      <c r="K22" s="12" t="s">
        <v>987</v>
      </c>
    </row>
    <row r="23" customFormat="false" ht="15" hidden="false" customHeight="false" outlineLevel="0" collapsed="false">
      <c r="A23" s="16" t="n">
        <v>45905</v>
      </c>
      <c r="B23" s="13" t="s">
        <v>302</v>
      </c>
      <c r="C23" s="12" t="s">
        <v>23</v>
      </c>
      <c r="D23" s="12" t="s">
        <v>20</v>
      </c>
      <c r="E23" s="12" t="s">
        <v>163</v>
      </c>
      <c r="F23" s="12"/>
      <c r="G23" s="12"/>
      <c r="H23" s="12"/>
      <c r="I23" s="12"/>
      <c r="J23" s="12" t="s">
        <v>983</v>
      </c>
      <c r="K23" s="12" t="s">
        <v>988</v>
      </c>
    </row>
    <row r="24" customFormat="false" ht="15" hidden="false" customHeight="false" outlineLevel="0" collapsed="false">
      <c r="A24" s="16" t="n">
        <v>45934</v>
      </c>
      <c r="B24" s="13" t="s">
        <v>136</v>
      </c>
      <c r="C24" s="12" t="s">
        <v>22</v>
      </c>
      <c r="D24" s="12" t="s">
        <v>20</v>
      </c>
      <c r="E24" s="12" t="s">
        <v>55</v>
      </c>
      <c r="F24" s="18" t="n">
        <v>70000</v>
      </c>
      <c r="G24" s="12" t="s">
        <v>829</v>
      </c>
      <c r="H24" s="12"/>
      <c r="I24" s="12" t="s">
        <v>989</v>
      </c>
      <c r="J24" s="12" t="s">
        <v>990</v>
      </c>
      <c r="K24" s="12" t="s">
        <v>991</v>
      </c>
    </row>
    <row r="25" customFormat="false" ht="15" hidden="false" customHeight="false" outlineLevel="0" collapsed="false">
      <c r="A25" s="16" t="n">
        <v>45934</v>
      </c>
      <c r="B25" s="13" t="s">
        <v>109</v>
      </c>
      <c r="C25" s="12" t="s">
        <v>22</v>
      </c>
      <c r="D25" s="12" t="s">
        <v>20</v>
      </c>
      <c r="E25" s="12" t="s">
        <v>55</v>
      </c>
      <c r="F25" s="18" t="n">
        <v>70000</v>
      </c>
      <c r="G25" s="12" t="s">
        <v>829</v>
      </c>
      <c r="H25" s="12"/>
      <c r="I25" s="12" t="s">
        <v>989</v>
      </c>
      <c r="J25" s="12" t="s">
        <v>990</v>
      </c>
      <c r="K25" s="12" t="s">
        <v>991</v>
      </c>
    </row>
    <row r="26" customFormat="false" ht="15" hidden="false" customHeight="false" outlineLevel="0" collapsed="false">
      <c r="A26" s="16" t="n">
        <v>45941</v>
      </c>
      <c r="B26" s="13" t="s">
        <v>101</v>
      </c>
      <c r="C26" s="12" t="s">
        <v>22</v>
      </c>
      <c r="D26" s="12" t="s">
        <v>19</v>
      </c>
      <c r="E26" s="12" t="s">
        <v>55</v>
      </c>
      <c r="F26" s="18" t="n">
        <v>100000</v>
      </c>
      <c r="G26" s="12" t="s">
        <v>829</v>
      </c>
      <c r="H26" s="12"/>
      <c r="I26" s="12" t="s">
        <v>965</v>
      </c>
      <c r="J26" s="12" t="s">
        <v>992</v>
      </c>
      <c r="K26" s="12" t="s">
        <v>993</v>
      </c>
    </row>
    <row r="27" customFormat="false" ht="15" hidden="false" customHeight="false" outlineLevel="0" collapsed="false">
      <c r="A27" s="16" t="n">
        <v>45944</v>
      </c>
      <c r="B27" s="13" t="s">
        <v>74</v>
      </c>
      <c r="C27" s="12" t="s">
        <v>22</v>
      </c>
      <c r="D27" s="12" t="s">
        <v>19</v>
      </c>
      <c r="E27" s="12" t="s">
        <v>55</v>
      </c>
      <c r="F27" s="18" t="n">
        <v>100000</v>
      </c>
      <c r="G27" s="12" t="s">
        <v>829</v>
      </c>
      <c r="H27" s="12"/>
      <c r="I27" s="12" t="s">
        <v>965</v>
      </c>
      <c r="J27" s="12" t="s">
        <v>992</v>
      </c>
      <c r="K27" s="12" t="s">
        <v>994</v>
      </c>
    </row>
    <row r="28" customFormat="false" ht="15" hidden="false" customHeight="false" outlineLevel="0" collapsed="false">
      <c r="A28" s="16" t="n">
        <v>45945</v>
      </c>
      <c r="B28" s="13" t="s">
        <v>73</v>
      </c>
      <c r="C28" s="12" t="s">
        <v>22</v>
      </c>
      <c r="D28" s="12" t="s">
        <v>19</v>
      </c>
      <c r="E28" s="12" t="s">
        <v>55</v>
      </c>
      <c r="F28" s="18" t="n">
        <v>100000</v>
      </c>
      <c r="G28" s="12" t="s">
        <v>829</v>
      </c>
      <c r="H28" s="12"/>
      <c r="I28" s="12" t="s">
        <v>965</v>
      </c>
      <c r="J28" s="12" t="s">
        <v>977</v>
      </c>
      <c r="K28" s="12" t="s">
        <v>995</v>
      </c>
    </row>
    <row r="29" customFormat="false" ht="15" hidden="false" customHeight="false" outlineLevel="0" collapsed="false">
      <c r="A29" s="16" t="n">
        <v>45945</v>
      </c>
      <c r="B29" s="13" t="s">
        <v>89</v>
      </c>
      <c r="C29" s="12" t="s">
        <v>22</v>
      </c>
      <c r="D29" s="12" t="s">
        <v>19</v>
      </c>
      <c r="E29" s="12" t="s">
        <v>55</v>
      </c>
      <c r="F29" s="18" t="n">
        <v>100000</v>
      </c>
      <c r="G29" s="12" t="s">
        <v>829</v>
      </c>
      <c r="H29" s="12"/>
      <c r="I29" s="12" t="s">
        <v>965</v>
      </c>
      <c r="J29" s="12" t="s">
        <v>977</v>
      </c>
      <c r="K29" s="12" t="s">
        <v>995</v>
      </c>
    </row>
    <row r="30" customFormat="false" ht="15" hidden="false" customHeight="false" outlineLevel="0" collapsed="false">
      <c r="A30" s="16" t="n">
        <v>45946</v>
      </c>
      <c r="B30" s="13" t="s">
        <v>98</v>
      </c>
      <c r="C30" s="12" t="s">
        <v>22</v>
      </c>
      <c r="D30" s="12" t="s">
        <v>19</v>
      </c>
      <c r="E30" s="12" t="s">
        <v>55</v>
      </c>
      <c r="F30" s="18" t="n">
        <v>100000</v>
      </c>
      <c r="G30" s="12" t="s">
        <v>829</v>
      </c>
      <c r="H30" s="12"/>
      <c r="I30" s="12" t="s">
        <v>965</v>
      </c>
      <c r="J30" s="12" t="s">
        <v>996</v>
      </c>
      <c r="K30" s="12" t="s">
        <v>997</v>
      </c>
    </row>
    <row r="31" customFormat="false" ht="15" hidden="false" customHeight="false" outlineLevel="0" collapsed="false">
      <c r="A31" s="16" t="n">
        <v>45947</v>
      </c>
      <c r="B31" s="13" t="s">
        <v>95</v>
      </c>
      <c r="C31" s="12" t="s">
        <v>22</v>
      </c>
      <c r="D31" s="12" t="s">
        <v>19</v>
      </c>
      <c r="E31" s="12" t="s">
        <v>55</v>
      </c>
      <c r="F31" s="18" t="n">
        <v>100000</v>
      </c>
      <c r="G31" s="12" t="s">
        <v>829</v>
      </c>
      <c r="H31" s="12"/>
      <c r="I31" s="12" t="s">
        <v>965</v>
      </c>
      <c r="J31" s="12" t="s">
        <v>998</v>
      </c>
      <c r="K31" s="12" t="s">
        <v>999</v>
      </c>
    </row>
    <row r="32" customFormat="false" ht="15" hidden="false" customHeight="false" outlineLevel="0" collapsed="false">
      <c r="A32" s="16" t="n">
        <v>45947</v>
      </c>
      <c r="B32" s="13" t="s">
        <v>94</v>
      </c>
      <c r="C32" s="12" t="s">
        <v>22</v>
      </c>
      <c r="D32" s="12" t="s">
        <v>19</v>
      </c>
      <c r="E32" s="12" t="s">
        <v>55</v>
      </c>
      <c r="F32" s="18" t="n">
        <v>100000</v>
      </c>
      <c r="G32" s="12" t="s">
        <v>829</v>
      </c>
      <c r="H32" s="12"/>
      <c r="I32" s="12" t="s">
        <v>965</v>
      </c>
      <c r="J32" s="12" t="s">
        <v>998</v>
      </c>
      <c r="K32" s="12" t="s">
        <v>999</v>
      </c>
    </row>
    <row r="33" customFormat="false" ht="15" hidden="false" customHeight="false" outlineLevel="0" collapsed="false">
      <c r="A33" s="16" t="n">
        <v>45947</v>
      </c>
      <c r="B33" s="13" t="s">
        <v>72</v>
      </c>
      <c r="C33" s="12" t="s">
        <v>22</v>
      </c>
      <c r="D33" s="12" t="s">
        <v>19</v>
      </c>
      <c r="E33" s="12" t="s">
        <v>55</v>
      </c>
      <c r="F33" s="18" t="n">
        <v>100000</v>
      </c>
      <c r="G33" s="12" t="s">
        <v>829</v>
      </c>
      <c r="H33" s="12"/>
      <c r="I33" s="12" t="s">
        <v>965</v>
      </c>
      <c r="J33" s="12" t="s">
        <v>998</v>
      </c>
      <c r="K33" s="12" t="s">
        <v>999</v>
      </c>
    </row>
    <row r="34" customFormat="false" ht="15" hidden="false" customHeight="false" outlineLevel="0" collapsed="false">
      <c r="A34" s="16" t="n">
        <v>45954</v>
      </c>
      <c r="B34" s="13" t="s">
        <v>90</v>
      </c>
      <c r="C34" s="12" t="s">
        <v>22</v>
      </c>
      <c r="D34" s="12" t="s">
        <v>19</v>
      </c>
      <c r="E34" s="12" t="s">
        <v>55</v>
      </c>
      <c r="F34" s="18" t="n">
        <v>100000</v>
      </c>
      <c r="G34" s="12" t="s">
        <v>829</v>
      </c>
      <c r="H34" s="12"/>
      <c r="I34" s="12" t="s">
        <v>965</v>
      </c>
      <c r="J34" s="12" t="s">
        <v>977</v>
      </c>
      <c r="K34" s="12" t="s">
        <v>1000</v>
      </c>
    </row>
    <row r="35" customFormat="false" ht="15" hidden="false" customHeight="false" outlineLevel="0" collapsed="false">
      <c r="A35" s="16" t="n">
        <v>45954</v>
      </c>
      <c r="B35" s="13" t="s">
        <v>84</v>
      </c>
      <c r="C35" s="12" t="s">
        <v>22</v>
      </c>
      <c r="D35" s="12" t="s">
        <v>19</v>
      </c>
      <c r="E35" s="12" t="s">
        <v>55</v>
      </c>
      <c r="F35" s="18" t="n">
        <v>100000</v>
      </c>
      <c r="G35" s="12" t="s">
        <v>829</v>
      </c>
      <c r="H35" s="12"/>
      <c r="I35" s="12" t="s">
        <v>965</v>
      </c>
      <c r="J35" s="12" t="s">
        <v>977</v>
      </c>
      <c r="K35" s="12" t="s">
        <v>1000</v>
      </c>
    </row>
    <row r="36" customFormat="false" ht="15" hidden="false" customHeight="false" outlineLevel="0" collapsed="false">
      <c r="A36" s="16" t="n">
        <v>45955</v>
      </c>
      <c r="B36" s="13" t="s">
        <v>93</v>
      </c>
      <c r="C36" s="12" t="s">
        <v>22</v>
      </c>
      <c r="D36" s="12" t="s">
        <v>19</v>
      </c>
      <c r="E36" s="12" t="s">
        <v>55</v>
      </c>
      <c r="F36" s="18" t="n">
        <v>100000</v>
      </c>
      <c r="G36" s="12" t="s">
        <v>829</v>
      </c>
      <c r="H36" s="12"/>
      <c r="I36" s="12" t="s">
        <v>965</v>
      </c>
      <c r="J36" s="12" t="s">
        <v>1001</v>
      </c>
      <c r="K36" s="12" t="s">
        <v>706</v>
      </c>
    </row>
    <row r="37" customFormat="false" ht="15" hidden="false" customHeight="false" outlineLevel="0" collapsed="false">
      <c r="A37" s="16" t="n">
        <v>45958</v>
      </c>
      <c r="B37" s="13" t="s">
        <v>139</v>
      </c>
      <c r="C37" s="12" t="s">
        <v>22</v>
      </c>
      <c r="D37" s="12" t="s">
        <v>20</v>
      </c>
      <c r="E37" s="12" t="s">
        <v>55</v>
      </c>
      <c r="F37" s="18" t="n">
        <v>70000</v>
      </c>
      <c r="G37" s="12" t="s">
        <v>829</v>
      </c>
      <c r="H37" s="12"/>
      <c r="I37" s="12" t="s">
        <v>989</v>
      </c>
      <c r="J37" s="12" t="s">
        <v>990</v>
      </c>
      <c r="K37" s="12" t="s">
        <v>1002</v>
      </c>
    </row>
    <row r="38" customFormat="false" ht="15" hidden="false" customHeight="false" outlineLevel="0" collapsed="false">
      <c r="A38" s="16" t="n">
        <v>45958</v>
      </c>
      <c r="B38" s="13" t="s">
        <v>108</v>
      </c>
      <c r="C38" s="12" t="s">
        <v>22</v>
      </c>
      <c r="D38" s="12" t="s">
        <v>20</v>
      </c>
      <c r="E38" s="12" t="s">
        <v>55</v>
      </c>
      <c r="F38" s="18" t="n">
        <v>70000</v>
      </c>
      <c r="G38" s="12" t="s">
        <v>829</v>
      </c>
      <c r="H38" s="12"/>
      <c r="I38" s="12" t="s">
        <v>989</v>
      </c>
      <c r="J38" s="12" t="s">
        <v>990</v>
      </c>
      <c r="K38" s="12" t="s">
        <v>1002</v>
      </c>
    </row>
    <row r="39" customFormat="false" ht="15" hidden="false" customHeight="false" outlineLevel="0" collapsed="false">
      <c r="A39" s="16" t="n">
        <v>45958</v>
      </c>
      <c r="B39" s="13" t="s">
        <v>258</v>
      </c>
      <c r="C39" s="12" t="s">
        <v>23</v>
      </c>
      <c r="D39" s="12" t="s">
        <v>19</v>
      </c>
      <c r="E39" s="12" t="s">
        <v>81</v>
      </c>
      <c r="F39" s="19" t="n">
        <v>0</v>
      </c>
      <c r="G39" s="12" t="s">
        <v>1003</v>
      </c>
      <c r="H39" s="12"/>
      <c r="I39" s="12"/>
      <c r="J39" s="12" t="s">
        <v>1003</v>
      </c>
      <c r="K39" s="12" t="s">
        <v>1004</v>
      </c>
    </row>
    <row r="40" customFormat="false" ht="15" hidden="false" customHeight="false" outlineLevel="0" collapsed="false">
      <c r="A40" s="16" t="n">
        <v>45960</v>
      </c>
      <c r="B40" s="13" t="s">
        <v>110</v>
      </c>
      <c r="C40" s="12" t="s">
        <v>22</v>
      </c>
      <c r="D40" s="12" t="s">
        <v>20</v>
      </c>
      <c r="E40" s="12" t="s">
        <v>55</v>
      </c>
      <c r="F40" s="18" t="n">
        <v>70000</v>
      </c>
      <c r="G40" s="12" t="s">
        <v>829</v>
      </c>
      <c r="H40" s="12"/>
      <c r="I40" s="12" t="s">
        <v>989</v>
      </c>
      <c r="J40" s="12" t="s">
        <v>1005</v>
      </c>
      <c r="K40" s="12" t="s">
        <v>1006</v>
      </c>
    </row>
    <row r="41" customFormat="false" ht="15" hidden="false" customHeight="false" outlineLevel="0" collapsed="false">
      <c r="A41" s="16" t="n">
        <v>45960</v>
      </c>
      <c r="B41" s="13" t="s">
        <v>137</v>
      </c>
      <c r="C41" s="12" t="s">
        <v>22</v>
      </c>
      <c r="D41" s="12" t="s">
        <v>20</v>
      </c>
      <c r="E41" s="12" t="s">
        <v>55</v>
      </c>
      <c r="F41" s="18" t="n">
        <v>70000</v>
      </c>
      <c r="G41" s="12" t="s">
        <v>829</v>
      </c>
      <c r="H41" s="12"/>
      <c r="I41" s="12" t="s">
        <v>989</v>
      </c>
      <c r="J41" s="12" t="s">
        <v>1005</v>
      </c>
      <c r="K41" s="12" t="s">
        <v>1006</v>
      </c>
    </row>
    <row r="42" customFormat="false" ht="15" hidden="false" customHeight="false" outlineLevel="0" collapsed="false">
      <c r="A42" s="16" t="n">
        <v>45961</v>
      </c>
      <c r="B42" s="13" t="s">
        <v>118</v>
      </c>
      <c r="C42" s="12" t="s">
        <v>22</v>
      </c>
      <c r="D42" s="12" t="s">
        <v>20</v>
      </c>
      <c r="E42" s="12" t="s">
        <v>55</v>
      </c>
      <c r="F42" s="18" t="n">
        <v>70000</v>
      </c>
      <c r="G42" s="12" t="s">
        <v>829</v>
      </c>
      <c r="H42" s="12"/>
      <c r="I42" s="12" t="s">
        <v>989</v>
      </c>
      <c r="J42" s="12" t="s">
        <v>990</v>
      </c>
      <c r="K42" s="12" t="s">
        <v>906</v>
      </c>
    </row>
    <row r="43" customFormat="false" ht="15" hidden="false" customHeight="false" outlineLevel="0" collapsed="false">
      <c r="A43" s="16" t="n">
        <v>45961</v>
      </c>
      <c r="B43" s="13" t="s">
        <v>116</v>
      </c>
      <c r="C43" s="12" t="s">
        <v>22</v>
      </c>
      <c r="D43" s="12" t="s">
        <v>20</v>
      </c>
      <c r="E43" s="12" t="s">
        <v>55</v>
      </c>
      <c r="F43" s="18" t="n">
        <v>70000</v>
      </c>
      <c r="G43" s="12" t="s">
        <v>829</v>
      </c>
      <c r="H43" s="12"/>
      <c r="I43" s="12" t="s">
        <v>989</v>
      </c>
      <c r="J43" s="12" t="s">
        <v>990</v>
      </c>
      <c r="K43" s="12" t="s">
        <v>906</v>
      </c>
    </row>
    <row r="44" customFormat="false" ht="15" hidden="false" customHeight="false" outlineLevel="0" collapsed="false">
      <c r="A44" s="16" t="n">
        <v>45973</v>
      </c>
      <c r="B44" s="13" t="s">
        <v>307</v>
      </c>
      <c r="C44" s="12" t="s">
        <v>23</v>
      </c>
      <c r="D44" s="12" t="s">
        <v>20</v>
      </c>
      <c r="E44" s="12" t="s">
        <v>163</v>
      </c>
      <c r="F44" s="12"/>
      <c r="G44" s="12"/>
      <c r="H44" s="12"/>
      <c r="I44" s="12"/>
      <c r="J44" s="12" t="s">
        <v>1007</v>
      </c>
      <c r="K44" s="12" t="s">
        <v>1008</v>
      </c>
    </row>
    <row r="45" customFormat="false" ht="15" hidden="false" customHeight="false" outlineLevel="0" collapsed="false">
      <c r="A45" s="16" t="n">
        <v>45973</v>
      </c>
      <c r="B45" s="13" t="s">
        <v>318</v>
      </c>
      <c r="C45" s="12" t="s">
        <v>23</v>
      </c>
      <c r="D45" s="12" t="s">
        <v>20</v>
      </c>
      <c r="E45" s="12" t="s">
        <v>163</v>
      </c>
      <c r="F45" s="12"/>
      <c r="G45" s="12"/>
      <c r="H45" s="12"/>
      <c r="I45" s="12"/>
      <c r="J45" s="12" t="s">
        <v>1007</v>
      </c>
      <c r="K45" s="12" t="s">
        <v>1008</v>
      </c>
    </row>
    <row r="46" customFormat="false" ht="15" hidden="false" customHeight="false" outlineLevel="0" collapsed="false">
      <c r="A46" s="16" t="n">
        <v>46007</v>
      </c>
      <c r="B46" s="13" t="s">
        <v>331</v>
      </c>
      <c r="C46" s="12" t="s">
        <v>23</v>
      </c>
      <c r="D46" s="12" t="s">
        <v>20</v>
      </c>
      <c r="E46" s="12" t="s">
        <v>55</v>
      </c>
      <c r="F46" s="18" t="n">
        <v>9800</v>
      </c>
      <c r="G46" s="12" t="s">
        <v>829</v>
      </c>
      <c r="H46" s="12"/>
      <c r="I46" s="12" t="s">
        <v>971</v>
      </c>
      <c r="J46" s="12" t="s">
        <v>1009</v>
      </c>
      <c r="K46" s="12" t="s">
        <v>1010</v>
      </c>
    </row>
    <row r="47" customFormat="false" ht="15" hidden="false" customHeight="false" outlineLevel="0" collapsed="false">
      <c r="A47" s="16" t="n">
        <v>46007</v>
      </c>
      <c r="B47" s="13" t="s">
        <v>442</v>
      </c>
      <c r="C47" s="12" t="s">
        <v>24</v>
      </c>
      <c r="D47" s="12" t="s">
        <v>19</v>
      </c>
      <c r="E47" s="12" t="s">
        <v>55</v>
      </c>
      <c r="F47" s="18" t="n">
        <v>10500</v>
      </c>
      <c r="G47" s="12" t="s">
        <v>829</v>
      </c>
      <c r="H47" s="12"/>
      <c r="I47" s="12" t="s">
        <v>968</v>
      </c>
      <c r="J47" s="12" t="s">
        <v>969</v>
      </c>
      <c r="K47" s="12" t="s">
        <v>1011</v>
      </c>
    </row>
    <row r="48" customFormat="false" ht="15" hidden="false" customHeight="false" outlineLevel="0" collapsed="false">
      <c r="A48" s="16" t="n">
        <v>46007</v>
      </c>
      <c r="B48" s="13" t="s">
        <v>473</v>
      </c>
      <c r="C48" s="12" t="s">
        <v>24</v>
      </c>
      <c r="D48" s="12" t="s">
        <v>20</v>
      </c>
      <c r="E48" s="12" t="s">
        <v>55</v>
      </c>
      <c r="F48" s="18" t="n">
        <v>9800</v>
      </c>
      <c r="G48" s="12" t="s">
        <v>829</v>
      </c>
      <c r="H48" s="12"/>
      <c r="I48" s="12" t="s">
        <v>971</v>
      </c>
      <c r="J48" s="12" t="s">
        <v>969</v>
      </c>
      <c r="K48" s="12" t="s">
        <v>1011</v>
      </c>
    </row>
    <row r="49" customFormat="false" ht="15" hidden="false" customHeight="false" outlineLevel="0" collapsed="false">
      <c r="A49" s="16" t="n">
        <v>46007</v>
      </c>
      <c r="B49" s="13" t="s">
        <v>500</v>
      </c>
      <c r="C49" s="12" t="s">
        <v>24</v>
      </c>
      <c r="D49" s="12" t="s">
        <v>20</v>
      </c>
      <c r="E49" s="12" t="s">
        <v>55</v>
      </c>
      <c r="F49" s="18" t="n">
        <v>9800</v>
      </c>
      <c r="G49" s="12" t="s">
        <v>829</v>
      </c>
      <c r="H49" s="12"/>
      <c r="I49" s="12" t="s">
        <v>971</v>
      </c>
      <c r="J49" s="12" t="s">
        <v>969</v>
      </c>
      <c r="K49" s="12" t="s">
        <v>1011</v>
      </c>
    </row>
    <row r="50" customFormat="false" ht="15" hidden="false" customHeight="false" outlineLevel="0" collapsed="false">
      <c r="A50" s="16" t="n">
        <v>46008</v>
      </c>
      <c r="B50" s="13" t="s">
        <v>280</v>
      </c>
      <c r="C50" s="12" t="s">
        <v>23</v>
      </c>
      <c r="D50" s="12" t="s">
        <v>19</v>
      </c>
      <c r="E50" s="12" t="s">
        <v>55</v>
      </c>
      <c r="F50" s="18" t="n">
        <v>10500</v>
      </c>
      <c r="G50" s="12" t="s">
        <v>829</v>
      </c>
      <c r="H50" s="12"/>
      <c r="I50" s="12" t="s">
        <v>985</v>
      </c>
      <c r="J50" s="12" t="s">
        <v>1012</v>
      </c>
      <c r="K50" s="12" t="s">
        <v>1013</v>
      </c>
    </row>
    <row r="51" customFormat="false" ht="15" hidden="false" customHeight="false" outlineLevel="0" collapsed="false">
      <c r="A51" s="16" t="n">
        <v>46008</v>
      </c>
      <c r="B51" s="13" t="s">
        <v>273</v>
      </c>
      <c r="C51" s="12" t="s">
        <v>23</v>
      </c>
      <c r="D51" s="12" t="s">
        <v>19</v>
      </c>
      <c r="E51" s="12" t="s">
        <v>55</v>
      </c>
      <c r="F51" s="18" t="n">
        <v>10500</v>
      </c>
      <c r="G51" s="12" t="s">
        <v>829</v>
      </c>
      <c r="H51" s="12"/>
      <c r="I51" s="12" t="s">
        <v>985</v>
      </c>
      <c r="J51" s="12" t="s">
        <v>1012</v>
      </c>
      <c r="K51" s="12" t="s">
        <v>1013</v>
      </c>
    </row>
    <row r="52" customFormat="false" ht="15" hidden="false" customHeight="false" outlineLevel="0" collapsed="false">
      <c r="A52" s="16" t="n">
        <v>46008</v>
      </c>
      <c r="B52" s="13" t="s">
        <v>252</v>
      </c>
      <c r="C52" s="12" t="s">
        <v>23</v>
      </c>
      <c r="D52" s="12" t="s">
        <v>19</v>
      </c>
      <c r="E52" s="12" t="s">
        <v>55</v>
      </c>
      <c r="F52" s="18" t="n">
        <v>10500</v>
      </c>
      <c r="G52" s="12" t="s">
        <v>829</v>
      </c>
      <c r="H52" s="12"/>
      <c r="I52" s="12" t="s">
        <v>985</v>
      </c>
      <c r="J52" s="12" t="s">
        <v>1012</v>
      </c>
      <c r="K52" s="12" t="s">
        <v>1013</v>
      </c>
    </row>
    <row r="53" customFormat="false" ht="15" hidden="false" customHeight="false" outlineLevel="0" collapsed="false">
      <c r="A53" s="16" t="n">
        <v>46008</v>
      </c>
      <c r="B53" s="13" t="s">
        <v>275</v>
      </c>
      <c r="C53" s="12" t="s">
        <v>23</v>
      </c>
      <c r="D53" s="12" t="s">
        <v>19</v>
      </c>
      <c r="E53" s="12" t="s">
        <v>55</v>
      </c>
      <c r="F53" s="18" t="n">
        <v>10500</v>
      </c>
      <c r="G53" s="12" t="s">
        <v>829</v>
      </c>
      <c r="H53" s="12"/>
      <c r="I53" s="12" t="s">
        <v>985</v>
      </c>
      <c r="J53" s="12" t="s">
        <v>1012</v>
      </c>
      <c r="K53" s="12" t="s">
        <v>1013</v>
      </c>
    </row>
    <row r="54" customFormat="false" ht="15" hidden="false" customHeight="false" outlineLevel="0" collapsed="false">
      <c r="A54" s="16" t="n">
        <v>46008</v>
      </c>
      <c r="B54" s="13" t="s">
        <v>257</v>
      </c>
      <c r="C54" s="12" t="s">
        <v>23</v>
      </c>
      <c r="D54" s="12" t="s">
        <v>19</v>
      </c>
      <c r="E54" s="12" t="s">
        <v>55</v>
      </c>
      <c r="F54" s="18" t="n">
        <v>10500</v>
      </c>
      <c r="G54" s="12" t="s">
        <v>829</v>
      </c>
      <c r="H54" s="12"/>
      <c r="I54" s="12" t="s">
        <v>985</v>
      </c>
      <c r="J54" s="12" t="s">
        <v>1012</v>
      </c>
      <c r="K54" s="12" t="s">
        <v>1013</v>
      </c>
    </row>
    <row r="55" customFormat="false" ht="15" hidden="false" customHeight="false" outlineLevel="0" collapsed="false">
      <c r="A55" s="16" t="n">
        <v>46008</v>
      </c>
      <c r="B55" s="13" t="s">
        <v>430</v>
      </c>
      <c r="C55" s="12" t="s">
        <v>24</v>
      </c>
      <c r="D55" s="12" t="s">
        <v>19</v>
      </c>
      <c r="E55" s="12" t="s">
        <v>55</v>
      </c>
      <c r="F55" s="18" t="n">
        <v>10500</v>
      </c>
      <c r="G55" s="12" t="s">
        <v>829</v>
      </c>
      <c r="H55" s="12"/>
      <c r="I55" s="12" t="s">
        <v>968</v>
      </c>
      <c r="J55" s="12" t="s">
        <v>981</v>
      </c>
      <c r="K55" s="12" t="s">
        <v>1014</v>
      </c>
    </row>
    <row r="56" customFormat="false" ht="15" hidden="false" customHeight="false" outlineLevel="0" collapsed="false">
      <c r="A56" s="16" t="n">
        <v>46009</v>
      </c>
      <c r="B56" s="13" t="s">
        <v>320</v>
      </c>
      <c r="C56" s="12" t="s">
        <v>23</v>
      </c>
      <c r="D56" s="12" t="s">
        <v>20</v>
      </c>
      <c r="E56" s="12" t="s">
        <v>55</v>
      </c>
      <c r="F56" s="18" t="n">
        <v>9800</v>
      </c>
      <c r="G56" s="12" t="s">
        <v>829</v>
      </c>
      <c r="H56" s="12"/>
      <c r="I56" s="12" t="s">
        <v>971</v>
      </c>
      <c r="J56" s="12" t="s">
        <v>1009</v>
      </c>
      <c r="K56" s="12" t="s">
        <v>1015</v>
      </c>
    </row>
    <row r="57" customFormat="false" ht="15" hidden="false" customHeight="false" outlineLevel="0" collapsed="false">
      <c r="A57" s="16" t="n">
        <v>46009</v>
      </c>
      <c r="B57" s="13" t="s">
        <v>452</v>
      </c>
      <c r="C57" s="12" t="s">
        <v>24</v>
      </c>
      <c r="D57" s="12" t="s">
        <v>19</v>
      </c>
      <c r="E57" s="12" t="s">
        <v>55</v>
      </c>
      <c r="F57" s="18" t="n">
        <v>10500</v>
      </c>
      <c r="G57" s="12" t="s">
        <v>829</v>
      </c>
      <c r="H57" s="12"/>
      <c r="I57" s="12" t="s">
        <v>968</v>
      </c>
      <c r="J57" s="12" t="s">
        <v>1009</v>
      </c>
      <c r="K57" s="12" t="s">
        <v>1016</v>
      </c>
    </row>
    <row r="58" customFormat="false" ht="15" hidden="false" customHeight="false" outlineLevel="0" collapsed="false">
      <c r="A58" s="16" t="n">
        <v>46009</v>
      </c>
      <c r="B58" s="13" t="s">
        <v>446</v>
      </c>
      <c r="C58" s="12" t="s">
        <v>24</v>
      </c>
      <c r="D58" s="12" t="s">
        <v>19</v>
      </c>
      <c r="E58" s="12" t="s">
        <v>55</v>
      </c>
      <c r="F58" s="18" t="n">
        <v>10500</v>
      </c>
      <c r="G58" s="12" t="s">
        <v>829</v>
      </c>
      <c r="H58" s="12"/>
      <c r="I58" s="12" t="s">
        <v>968</v>
      </c>
      <c r="J58" s="12" t="s">
        <v>1009</v>
      </c>
      <c r="K58" s="12" t="s">
        <v>1016</v>
      </c>
    </row>
    <row r="59" customFormat="false" ht="15" hidden="false" customHeight="false" outlineLevel="0" collapsed="false">
      <c r="A59" s="16" t="n">
        <v>46009</v>
      </c>
      <c r="B59" s="13" t="s">
        <v>529</v>
      </c>
      <c r="C59" s="12" t="s">
        <v>24</v>
      </c>
      <c r="D59" s="12" t="s">
        <v>20</v>
      </c>
      <c r="E59" s="12" t="s">
        <v>55</v>
      </c>
      <c r="F59" s="18" t="n">
        <v>9800</v>
      </c>
      <c r="G59" s="12" t="s">
        <v>829</v>
      </c>
      <c r="H59" s="12"/>
      <c r="I59" s="12" t="s">
        <v>971</v>
      </c>
      <c r="J59" s="12" t="s">
        <v>1009</v>
      </c>
      <c r="K59" s="12" t="s">
        <v>1016</v>
      </c>
    </row>
    <row r="60" customFormat="false" ht="15" hidden="false" customHeight="false" outlineLevel="0" collapsed="false">
      <c r="A60" s="16" t="n">
        <v>46010</v>
      </c>
      <c r="B60" s="13" t="s">
        <v>265</v>
      </c>
      <c r="C60" s="12" t="s">
        <v>23</v>
      </c>
      <c r="D60" s="12" t="s">
        <v>19</v>
      </c>
      <c r="E60" s="12" t="s">
        <v>55</v>
      </c>
      <c r="F60" s="18" t="n">
        <v>10500</v>
      </c>
      <c r="G60" s="12" t="s">
        <v>829</v>
      </c>
      <c r="H60" s="12"/>
      <c r="I60" s="12" t="s">
        <v>985</v>
      </c>
      <c r="J60" s="12" t="s">
        <v>1017</v>
      </c>
      <c r="K60" s="12" t="s">
        <v>1018</v>
      </c>
    </row>
    <row r="61" customFormat="false" ht="15" hidden="false" customHeight="false" outlineLevel="0" collapsed="false">
      <c r="A61" s="16" t="n">
        <v>46013</v>
      </c>
      <c r="B61" s="13" t="s">
        <v>339</v>
      </c>
      <c r="C61" s="12" t="s">
        <v>23</v>
      </c>
      <c r="D61" s="12" t="s">
        <v>20</v>
      </c>
      <c r="E61" s="12" t="s">
        <v>55</v>
      </c>
      <c r="F61" s="18" t="n">
        <v>9800</v>
      </c>
      <c r="G61" s="12" t="s">
        <v>829</v>
      </c>
      <c r="H61" s="12"/>
      <c r="I61" s="12" t="s">
        <v>971</v>
      </c>
      <c r="J61" s="12" t="s">
        <v>1009</v>
      </c>
      <c r="K61" s="12" t="s">
        <v>1019</v>
      </c>
    </row>
    <row r="62" customFormat="false" ht="15" hidden="false" customHeight="false" outlineLevel="0" collapsed="false">
      <c r="A62" s="16" t="n">
        <v>46013</v>
      </c>
      <c r="B62" s="13" t="s">
        <v>433</v>
      </c>
      <c r="C62" s="12" t="s">
        <v>24</v>
      </c>
      <c r="D62" s="12" t="s">
        <v>19</v>
      </c>
      <c r="E62" s="12" t="s">
        <v>55</v>
      </c>
      <c r="F62" s="18" t="n">
        <v>10500</v>
      </c>
      <c r="G62" s="12" t="s">
        <v>829</v>
      </c>
      <c r="H62" s="12"/>
      <c r="I62" s="12" t="s">
        <v>968</v>
      </c>
      <c r="J62" s="12" t="s">
        <v>1020</v>
      </c>
      <c r="K62" s="12" t="s">
        <v>1021</v>
      </c>
    </row>
    <row r="63" customFormat="false" ht="15" hidden="false" customHeight="false" outlineLevel="0" collapsed="false">
      <c r="A63" s="16" t="n">
        <v>46013</v>
      </c>
      <c r="B63" s="13" t="s">
        <v>454</v>
      </c>
      <c r="C63" s="12" t="s">
        <v>24</v>
      </c>
      <c r="D63" s="12" t="s">
        <v>19</v>
      </c>
      <c r="E63" s="12" t="s">
        <v>55</v>
      </c>
      <c r="F63" s="18" t="n">
        <v>10500</v>
      </c>
      <c r="G63" s="12" t="s">
        <v>829</v>
      </c>
      <c r="H63" s="12"/>
      <c r="I63" s="12" t="s">
        <v>968</v>
      </c>
      <c r="J63" s="12" t="s">
        <v>1020</v>
      </c>
      <c r="K63" s="12" t="s">
        <v>1021</v>
      </c>
    </row>
    <row r="64" customFormat="false" ht="15" hidden="false" customHeight="false" outlineLevel="0" collapsed="false">
      <c r="A64" s="16" t="n">
        <v>46014</v>
      </c>
      <c r="B64" s="13" t="s">
        <v>249</v>
      </c>
      <c r="C64" s="12" t="s">
        <v>23</v>
      </c>
      <c r="D64" s="12" t="s">
        <v>19</v>
      </c>
      <c r="E64" s="12" t="s">
        <v>55</v>
      </c>
      <c r="F64" s="18" t="n">
        <v>10500</v>
      </c>
      <c r="G64" s="12" t="s">
        <v>829</v>
      </c>
      <c r="H64" s="12"/>
      <c r="I64" s="12" t="s">
        <v>985</v>
      </c>
      <c r="J64" s="12" t="s">
        <v>969</v>
      </c>
      <c r="K64" s="12" t="s">
        <v>1022</v>
      </c>
    </row>
    <row r="65" customFormat="false" ht="15" hidden="false" customHeight="false" outlineLevel="0" collapsed="false">
      <c r="A65" s="16" t="n">
        <v>46014</v>
      </c>
      <c r="B65" s="13" t="s">
        <v>262</v>
      </c>
      <c r="C65" s="12" t="s">
        <v>23</v>
      </c>
      <c r="D65" s="12" t="s">
        <v>19</v>
      </c>
      <c r="E65" s="12" t="s">
        <v>55</v>
      </c>
      <c r="F65" s="18" t="n">
        <v>10500</v>
      </c>
      <c r="G65" s="12" t="s">
        <v>829</v>
      </c>
      <c r="H65" s="12"/>
      <c r="I65" s="12" t="s">
        <v>985</v>
      </c>
      <c r="J65" s="12" t="s">
        <v>969</v>
      </c>
      <c r="K65" s="12" t="s">
        <v>1022</v>
      </c>
    </row>
    <row r="66" customFormat="false" ht="15" hidden="false" customHeight="false" outlineLevel="0" collapsed="false">
      <c r="A66" s="16" t="n">
        <v>46014</v>
      </c>
      <c r="B66" s="13" t="s">
        <v>297</v>
      </c>
      <c r="C66" s="12" t="s">
        <v>23</v>
      </c>
      <c r="D66" s="12" t="s">
        <v>20</v>
      </c>
      <c r="E66" s="12" t="s">
        <v>55</v>
      </c>
      <c r="F66" s="18" t="n">
        <v>9800</v>
      </c>
      <c r="G66" s="12" t="s">
        <v>829</v>
      </c>
      <c r="H66" s="12"/>
      <c r="I66" s="12" t="s">
        <v>971</v>
      </c>
      <c r="J66" s="12" t="s">
        <v>969</v>
      </c>
      <c r="K66" s="12" t="s">
        <v>1022</v>
      </c>
    </row>
    <row r="67" customFormat="false" ht="15" hidden="false" customHeight="false" outlineLevel="0" collapsed="false">
      <c r="A67" s="16" t="n">
        <v>46014</v>
      </c>
      <c r="B67" s="13" t="s">
        <v>312</v>
      </c>
      <c r="C67" s="12" t="s">
        <v>23</v>
      </c>
      <c r="D67" s="12" t="s">
        <v>20</v>
      </c>
      <c r="E67" s="12" t="s">
        <v>81</v>
      </c>
      <c r="F67" s="19" t="n">
        <v>0</v>
      </c>
      <c r="G67" s="12" t="s">
        <v>1023</v>
      </c>
      <c r="H67" s="12"/>
      <c r="I67" s="12"/>
      <c r="J67" s="12" t="s">
        <v>1023</v>
      </c>
      <c r="K67" s="12" t="s">
        <v>1022</v>
      </c>
    </row>
    <row r="68" customFormat="false" ht="15" hidden="false" customHeight="false" outlineLevel="0" collapsed="false">
      <c r="A68" s="16" t="n">
        <v>46014</v>
      </c>
      <c r="B68" s="13" t="s">
        <v>441</v>
      </c>
      <c r="C68" s="12" t="s">
        <v>24</v>
      </c>
      <c r="D68" s="12" t="s">
        <v>19</v>
      </c>
      <c r="E68" s="12" t="s">
        <v>55</v>
      </c>
      <c r="F68" s="18" t="n">
        <v>10500</v>
      </c>
      <c r="G68" s="12" t="s">
        <v>829</v>
      </c>
      <c r="H68" s="12"/>
      <c r="I68" s="12" t="s">
        <v>968</v>
      </c>
      <c r="J68" s="12" t="s">
        <v>1020</v>
      </c>
      <c r="K68" s="12" t="s">
        <v>1024</v>
      </c>
    </row>
    <row r="69" customFormat="false" ht="15" hidden="false" customHeight="false" outlineLevel="0" collapsed="false">
      <c r="A69" s="16" t="n">
        <v>46014</v>
      </c>
      <c r="B69" s="13" t="s">
        <v>418</v>
      </c>
      <c r="C69" s="12" t="s">
        <v>24</v>
      </c>
      <c r="D69" s="12" t="s">
        <v>19</v>
      </c>
      <c r="E69" s="12" t="s">
        <v>55</v>
      </c>
      <c r="F69" s="18" t="n">
        <v>10500</v>
      </c>
      <c r="G69" s="12" t="s">
        <v>829</v>
      </c>
      <c r="H69" s="12"/>
      <c r="I69" s="12" t="s">
        <v>968</v>
      </c>
      <c r="J69" s="12" t="s">
        <v>1020</v>
      </c>
      <c r="K69" s="12" t="s">
        <v>1024</v>
      </c>
    </row>
    <row r="70" customFormat="false" ht="15" hidden="false" customHeight="false" outlineLevel="0" collapsed="false">
      <c r="A70" s="16" t="n">
        <v>46014</v>
      </c>
      <c r="B70" s="13" t="s">
        <v>448</v>
      </c>
      <c r="C70" s="12" t="s">
        <v>24</v>
      </c>
      <c r="D70" s="12" t="s">
        <v>19</v>
      </c>
      <c r="E70" s="12" t="s">
        <v>81</v>
      </c>
      <c r="F70" s="19" t="n">
        <v>0</v>
      </c>
      <c r="G70" s="12" t="s">
        <v>1025</v>
      </c>
      <c r="H70" s="12"/>
      <c r="I70" s="12"/>
      <c r="J70" s="12" t="s">
        <v>1025</v>
      </c>
      <c r="K70" s="12" t="s">
        <v>1024</v>
      </c>
    </row>
    <row r="71" customFormat="false" ht="15" hidden="false" customHeight="false" outlineLevel="0" collapsed="false">
      <c r="A71" s="16" t="n">
        <v>46015</v>
      </c>
      <c r="B71" s="13" t="s">
        <v>279</v>
      </c>
      <c r="C71" s="12" t="s">
        <v>23</v>
      </c>
      <c r="D71" s="12" t="s">
        <v>19</v>
      </c>
      <c r="E71" s="12" t="s">
        <v>55</v>
      </c>
      <c r="F71" s="18" t="n">
        <v>10500</v>
      </c>
      <c r="G71" s="12" t="s">
        <v>829</v>
      </c>
      <c r="H71" s="12"/>
      <c r="I71" s="12" t="s">
        <v>985</v>
      </c>
      <c r="J71" s="12" t="s">
        <v>1017</v>
      </c>
      <c r="K71" s="12" t="s">
        <v>1026</v>
      </c>
    </row>
    <row r="72" customFormat="false" ht="15" hidden="false" customHeight="false" outlineLevel="0" collapsed="false">
      <c r="A72" s="16" t="n">
        <v>46015</v>
      </c>
      <c r="B72" s="13" t="s">
        <v>246</v>
      </c>
      <c r="C72" s="12" t="s">
        <v>23</v>
      </c>
      <c r="D72" s="12" t="s">
        <v>19</v>
      </c>
      <c r="E72" s="12" t="s">
        <v>55</v>
      </c>
      <c r="F72" s="18" t="n">
        <v>10500</v>
      </c>
      <c r="G72" s="12" t="s">
        <v>829</v>
      </c>
      <c r="H72" s="12"/>
      <c r="I72" s="12" t="s">
        <v>985</v>
      </c>
      <c r="J72" s="12" t="s">
        <v>1017</v>
      </c>
      <c r="K72" s="12" t="s">
        <v>1026</v>
      </c>
    </row>
    <row r="73" customFormat="false" ht="15" hidden="false" customHeight="false" outlineLevel="0" collapsed="false">
      <c r="A73" s="16" t="n">
        <v>46015</v>
      </c>
      <c r="B73" s="13" t="s">
        <v>269</v>
      </c>
      <c r="C73" s="12" t="s">
        <v>23</v>
      </c>
      <c r="D73" s="12" t="s">
        <v>19</v>
      </c>
      <c r="E73" s="12" t="s">
        <v>55</v>
      </c>
      <c r="F73" s="18" t="n">
        <v>10500</v>
      </c>
      <c r="G73" s="12" t="s">
        <v>829</v>
      </c>
      <c r="H73" s="12"/>
      <c r="I73" s="12" t="s">
        <v>985</v>
      </c>
      <c r="J73" s="12" t="s">
        <v>1017</v>
      </c>
      <c r="K73" s="12" t="s">
        <v>1026</v>
      </c>
    </row>
    <row r="74" customFormat="false" ht="15" hidden="false" customHeight="false" outlineLevel="0" collapsed="false">
      <c r="A74" s="16" t="n">
        <v>46015</v>
      </c>
      <c r="B74" s="13" t="s">
        <v>426</v>
      </c>
      <c r="C74" s="12" t="s">
        <v>24</v>
      </c>
      <c r="D74" s="12" t="s">
        <v>19</v>
      </c>
      <c r="E74" s="12" t="s">
        <v>55</v>
      </c>
      <c r="F74" s="18" t="n">
        <v>10500</v>
      </c>
      <c r="G74" s="12" t="s">
        <v>829</v>
      </c>
      <c r="H74" s="12"/>
      <c r="I74" s="12" t="s">
        <v>968</v>
      </c>
      <c r="J74" s="12" t="s">
        <v>1020</v>
      </c>
      <c r="K74" s="12" t="s">
        <v>1027</v>
      </c>
    </row>
    <row r="75" customFormat="false" ht="15" hidden="false" customHeight="false" outlineLevel="0" collapsed="false">
      <c r="A75" s="16" t="n">
        <v>46015</v>
      </c>
      <c r="B75" s="13" t="s">
        <v>421</v>
      </c>
      <c r="C75" s="12" t="s">
        <v>24</v>
      </c>
      <c r="D75" s="12" t="s">
        <v>19</v>
      </c>
      <c r="E75" s="12" t="s">
        <v>55</v>
      </c>
      <c r="F75" s="18" t="n">
        <v>10500</v>
      </c>
      <c r="G75" s="12" t="s">
        <v>829</v>
      </c>
      <c r="H75" s="12"/>
      <c r="I75" s="12" t="s">
        <v>968</v>
      </c>
      <c r="J75" s="12" t="s">
        <v>1020</v>
      </c>
      <c r="K75" s="12" t="s">
        <v>1027</v>
      </c>
    </row>
    <row r="76" customFormat="false" ht="15" hidden="false" customHeight="false" outlineLevel="0" collapsed="false">
      <c r="A76" s="16" t="n">
        <v>46018</v>
      </c>
      <c r="B76" s="13" t="s">
        <v>432</v>
      </c>
      <c r="C76" s="12" t="s">
        <v>24</v>
      </c>
      <c r="D76" s="12" t="s">
        <v>19</v>
      </c>
      <c r="E76" s="12" t="s">
        <v>55</v>
      </c>
      <c r="F76" s="18" t="n">
        <v>10500</v>
      </c>
      <c r="G76" s="12" t="s">
        <v>829</v>
      </c>
      <c r="H76" s="12"/>
      <c r="I76" s="12" t="s">
        <v>968</v>
      </c>
      <c r="J76" s="12" t="s">
        <v>1009</v>
      </c>
      <c r="K76" s="12" t="s">
        <v>1028</v>
      </c>
    </row>
    <row r="77" customFormat="false" ht="15" hidden="false" customHeight="false" outlineLevel="0" collapsed="false">
      <c r="A77" s="16" t="n">
        <v>46018</v>
      </c>
      <c r="B77" s="13" t="s">
        <v>488</v>
      </c>
      <c r="C77" s="12" t="s">
        <v>24</v>
      </c>
      <c r="D77" s="12" t="s">
        <v>20</v>
      </c>
      <c r="E77" s="12" t="s">
        <v>55</v>
      </c>
      <c r="F77" s="18" t="n">
        <v>9800</v>
      </c>
      <c r="G77" s="12" t="s">
        <v>829</v>
      </c>
      <c r="H77" s="12"/>
      <c r="I77" s="12" t="s">
        <v>971</v>
      </c>
      <c r="J77" s="12" t="s">
        <v>1009</v>
      </c>
      <c r="K77" s="12" t="s">
        <v>1028</v>
      </c>
    </row>
    <row r="78" customFormat="false" ht="15" hidden="false" customHeight="false" outlineLevel="0" collapsed="false">
      <c r="A78" s="16" t="n">
        <v>46019</v>
      </c>
      <c r="B78" s="13" t="s">
        <v>424</v>
      </c>
      <c r="C78" s="12" t="s">
        <v>24</v>
      </c>
      <c r="D78" s="12" t="s">
        <v>19</v>
      </c>
      <c r="E78" s="12" t="s">
        <v>55</v>
      </c>
      <c r="F78" s="18" t="n">
        <v>10500</v>
      </c>
      <c r="G78" s="12" t="s">
        <v>829</v>
      </c>
      <c r="H78" s="12"/>
      <c r="I78" s="12" t="s">
        <v>968</v>
      </c>
      <c r="J78" s="12" t="s">
        <v>1017</v>
      </c>
      <c r="K78" s="12" t="s">
        <v>1029</v>
      </c>
    </row>
    <row r="79" customFormat="false" ht="15" hidden="false" customHeight="false" outlineLevel="0" collapsed="false">
      <c r="A79" s="16" t="n">
        <v>46020</v>
      </c>
      <c r="B79" s="13" t="s">
        <v>352</v>
      </c>
      <c r="C79" s="12" t="s">
        <v>23</v>
      </c>
      <c r="D79" s="12" t="s">
        <v>20</v>
      </c>
      <c r="E79" s="12" t="s">
        <v>55</v>
      </c>
      <c r="F79" s="18" t="n">
        <v>9800</v>
      </c>
      <c r="G79" s="12" t="s">
        <v>829</v>
      </c>
      <c r="H79" s="12"/>
      <c r="I79" s="12" t="s">
        <v>971</v>
      </c>
      <c r="J79" s="12" t="s">
        <v>1030</v>
      </c>
      <c r="K79" s="12" t="s">
        <v>1031</v>
      </c>
    </row>
    <row r="80" customFormat="false" ht="15" hidden="false" customHeight="false" outlineLevel="0" collapsed="false">
      <c r="A80" s="16" t="n">
        <v>46021</v>
      </c>
      <c r="B80" s="13" t="s">
        <v>443</v>
      </c>
      <c r="C80" s="12" t="s">
        <v>24</v>
      </c>
      <c r="D80" s="12" t="s">
        <v>19</v>
      </c>
      <c r="E80" s="12" t="s">
        <v>55</v>
      </c>
      <c r="F80" s="18" t="n">
        <v>10500</v>
      </c>
      <c r="G80" s="12" t="s">
        <v>829</v>
      </c>
      <c r="H80" s="12"/>
      <c r="I80" s="12" t="s">
        <v>968</v>
      </c>
      <c r="J80" s="12" t="s">
        <v>1017</v>
      </c>
      <c r="K80" s="12" t="s">
        <v>1032</v>
      </c>
    </row>
    <row r="81" customFormat="false" ht="15" hidden="false" customHeight="false" outlineLevel="0" collapsed="false">
      <c r="A81" s="16" t="n">
        <v>46022</v>
      </c>
      <c r="B81" s="13" t="s">
        <v>263</v>
      </c>
      <c r="C81" s="12" t="s">
        <v>23</v>
      </c>
      <c r="D81" s="12" t="s">
        <v>19</v>
      </c>
      <c r="E81" s="12" t="s">
        <v>55</v>
      </c>
      <c r="F81" s="18" t="n">
        <v>10500</v>
      </c>
      <c r="G81" s="12" t="s">
        <v>829</v>
      </c>
      <c r="H81" s="12"/>
      <c r="I81" s="12" t="s">
        <v>985</v>
      </c>
      <c r="J81" s="12" t="s">
        <v>986</v>
      </c>
      <c r="K81" s="12" t="s">
        <v>1033</v>
      </c>
    </row>
    <row r="82" customFormat="false" ht="15" hidden="false" customHeight="false" outlineLevel="0" collapsed="false">
      <c r="A82" s="16" t="n">
        <v>46046</v>
      </c>
      <c r="B82" s="13" t="s">
        <v>543</v>
      </c>
      <c r="C82" s="12" t="s">
        <v>24</v>
      </c>
      <c r="D82" s="12" t="s">
        <v>20</v>
      </c>
      <c r="E82" s="12" t="s">
        <v>55</v>
      </c>
      <c r="F82" s="18" t="n">
        <v>9800</v>
      </c>
      <c r="G82" s="12" t="s">
        <v>829</v>
      </c>
      <c r="H82" s="12"/>
      <c r="I82" s="12" t="s">
        <v>971</v>
      </c>
      <c r="J82" s="12" t="s">
        <v>1034</v>
      </c>
      <c r="K82" s="12" t="s">
        <v>919</v>
      </c>
    </row>
    <row r="83" customFormat="false" ht="15" hidden="false" customHeight="false" outlineLevel="0" collapsed="false">
      <c r="A83" s="16" t="n">
        <v>46051</v>
      </c>
      <c r="B83" s="13" t="s">
        <v>105</v>
      </c>
      <c r="C83" s="12" t="s">
        <v>22</v>
      </c>
      <c r="D83" s="12" t="s">
        <v>20</v>
      </c>
      <c r="E83" s="12" t="s">
        <v>55</v>
      </c>
      <c r="F83" s="18" t="n">
        <v>70000</v>
      </c>
      <c r="G83" s="12" t="s">
        <v>829</v>
      </c>
      <c r="H83" s="12"/>
      <c r="I83" s="12" t="s">
        <v>989</v>
      </c>
      <c r="J83" s="12" t="s">
        <v>1035</v>
      </c>
      <c r="K83" s="12" t="s">
        <v>1036</v>
      </c>
    </row>
    <row r="84" customFormat="false" ht="15" hidden="false" customHeight="false" outlineLevel="0" collapsed="false">
      <c r="A84" s="16" t="n">
        <v>46064</v>
      </c>
      <c r="B84" s="13" t="s">
        <v>310</v>
      </c>
      <c r="C84" s="12" t="s">
        <v>23</v>
      </c>
      <c r="D84" s="12" t="s">
        <v>20</v>
      </c>
      <c r="E84" s="12" t="s">
        <v>55</v>
      </c>
      <c r="F84" s="18" t="n">
        <v>9800</v>
      </c>
      <c r="G84" s="12" t="s">
        <v>829</v>
      </c>
      <c r="H84" s="12"/>
      <c r="I84" s="12" t="s">
        <v>971</v>
      </c>
      <c r="J84" s="12" t="s">
        <v>1037</v>
      </c>
      <c r="K84" s="12" t="s">
        <v>1038</v>
      </c>
    </row>
    <row r="85" customFormat="false" ht="15" hidden="false" customHeight="false" outlineLevel="0" collapsed="false">
      <c r="A85" s="16" t="n">
        <v>46065</v>
      </c>
      <c r="B85" s="13" t="s">
        <v>329</v>
      </c>
      <c r="C85" s="12" t="s">
        <v>23</v>
      </c>
      <c r="D85" s="12" t="s">
        <v>20</v>
      </c>
      <c r="E85" s="12" t="s">
        <v>163</v>
      </c>
      <c r="F85" s="12"/>
      <c r="G85" s="12"/>
      <c r="H85" s="12"/>
      <c r="I85" s="12"/>
      <c r="J85" s="12" t="s">
        <v>1039</v>
      </c>
      <c r="K85" s="12" t="s">
        <v>1040</v>
      </c>
    </row>
    <row r="86" customFormat="false" ht="15" hidden="false" customHeight="false" outlineLevel="0" collapsed="false">
      <c r="A86" s="16" t="n">
        <v>46099</v>
      </c>
      <c r="B86" s="11" t="s">
        <v>54</v>
      </c>
      <c r="C86" s="12" t="s">
        <v>22</v>
      </c>
      <c r="D86" s="12" t="s">
        <v>19</v>
      </c>
      <c r="E86" s="12" t="s">
        <v>55</v>
      </c>
      <c r="F86" s="18" t="n">
        <v>100000</v>
      </c>
      <c r="G86" s="12" t="s">
        <v>829</v>
      </c>
      <c r="H86" s="12"/>
      <c r="I86" s="12" t="s">
        <v>965</v>
      </c>
      <c r="J86" s="12" t="s">
        <v>1041</v>
      </c>
      <c r="K86" s="12" t="s">
        <v>1042</v>
      </c>
    </row>
    <row r="87" customFormat="false" ht="15" hidden="false" customHeight="false" outlineLevel="0" collapsed="false">
      <c r="A87" s="16" t="n">
        <v>46099</v>
      </c>
      <c r="B87" s="13" t="s">
        <v>129</v>
      </c>
      <c r="C87" s="12" t="s">
        <v>22</v>
      </c>
      <c r="D87" s="12" t="s">
        <v>20</v>
      </c>
      <c r="E87" s="12" t="s">
        <v>55</v>
      </c>
      <c r="F87" s="18" t="n">
        <v>70000</v>
      </c>
      <c r="G87" s="12" t="s">
        <v>829</v>
      </c>
      <c r="H87" s="12"/>
      <c r="I87" s="12" t="s">
        <v>989</v>
      </c>
      <c r="J87" s="12" t="s">
        <v>1041</v>
      </c>
      <c r="K87" s="12" t="s">
        <v>1042</v>
      </c>
    </row>
    <row r="88" customFormat="false" ht="15" hidden="false" customHeight="false" outlineLevel="0" collapsed="false">
      <c r="A88" s="16" t="n">
        <v>46106</v>
      </c>
      <c r="B88" s="13" t="s">
        <v>80</v>
      </c>
      <c r="C88" s="12" t="s">
        <v>22</v>
      </c>
      <c r="D88" s="12" t="s">
        <v>19</v>
      </c>
      <c r="E88" s="12" t="s">
        <v>81</v>
      </c>
      <c r="F88" s="19" t="n">
        <v>0</v>
      </c>
      <c r="G88" s="12" t="s">
        <v>1043</v>
      </c>
      <c r="H88" s="12"/>
      <c r="I88" s="12"/>
      <c r="J88" s="12" t="s">
        <v>1043</v>
      </c>
      <c r="K88" s="12" t="s">
        <v>1044</v>
      </c>
    </row>
    <row r="89" customFormat="false" ht="15" hidden="false" customHeight="false" outlineLevel="0" collapsed="false">
      <c r="A89" s="16" t="n">
        <v>46109</v>
      </c>
      <c r="B89" s="13" t="s">
        <v>154</v>
      </c>
      <c r="C89" s="12" t="s">
        <v>22</v>
      </c>
      <c r="D89" s="12" t="s">
        <v>19</v>
      </c>
      <c r="E89" s="12" t="s">
        <v>55</v>
      </c>
      <c r="F89" s="18" t="n">
        <v>100000</v>
      </c>
      <c r="G89" s="12" t="s">
        <v>829</v>
      </c>
      <c r="H89" s="12"/>
      <c r="I89" s="12" t="s">
        <v>965</v>
      </c>
      <c r="J89" s="12" t="s">
        <v>998</v>
      </c>
      <c r="K89" s="12" t="s">
        <v>1045</v>
      </c>
    </row>
    <row r="90" customFormat="false" ht="15" hidden="false" customHeight="false" outlineLevel="0" collapsed="false">
      <c r="A90" s="16" t="n">
        <v>46109</v>
      </c>
      <c r="B90" s="13" t="s">
        <v>156</v>
      </c>
      <c r="C90" s="12" t="s">
        <v>22</v>
      </c>
      <c r="D90" s="12" t="s">
        <v>19</v>
      </c>
      <c r="E90" s="12" t="s">
        <v>55</v>
      </c>
      <c r="F90" s="18" t="n">
        <v>100000</v>
      </c>
      <c r="G90" s="12" t="s">
        <v>829</v>
      </c>
      <c r="H90" s="12"/>
      <c r="I90" s="12" t="s">
        <v>965</v>
      </c>
      <c r="J90" s="12" t="s">
        <v>998</v>
      </c>
      <c r="K90" s="12" t="s">
        <v>1045</v>
      </c>
    </row>
    <row r="91" customFormat="false" ht="15" hidden="false" customHeight="false" outlineLevel="0" collapsed="false">
      <c r="A91" s="16" t="n">
        <v>46109</v>
      </c>
      <c r="B91" s="13" t="s">
        <v>159</v>
      </c>
      <c r="C91" s="12" t="s">
        <v>22</v>
      </c>
      <c r="D91" s="12" t="s">
        <v>19</v>
      </c>
      <c r="E91" s="12" t="s">
        <v>55</v>
      </c>
      <c r="F91" s="18" t="n">
        <v>100000</v>
      </c>
      <c r="G91" s="12" t="s">
        <v>829</v>
      </c>
      <c r="H91" s="12"/>
      <c r="I91" s="12" t="s">
        <v>965</v>
      </c>
      <c r="J91" s="12" t="s">
        <v>998</v>
      </c>
      <c r="K91" s="12" t="s">
        <v>1045</v>
      </c>
    </row>
    <row r="92" customFormat="false" ht="15" hidden="false" customHeight="false" outlineLevel="0" collapsed="false">
      <c r="A92" s="16" t="n">
        <v>46111</v>
      </c>
      <c r="B92" s="11" t="s">
        <v>66</v>
      </c>
      <c r="C92" s="12" t="s">
        <v>22</v>
      </c>
      <c r="D92" s="12" t="s">
        <v>19</v>
      </c>
      <c r="E92" s="12" t="s">
        <v>55</v>
      </c>
      <c r="F92" s="18" t="n">
        <v>100000</v>
      </c>
      <c r="G92" s="12" t="s">
        <v>829</v>
      </c>
      <c r="H92" s="12"/>
      <c r="I92" s="12" t="s">
        <v>965</v>
      </c>
      <c r="J92" s="12" t="s">
        <v>1046</v>
      </c>
      <c r="K92" s="12" t="s">
        <v>1047</v>
      </c>
    </row>
    <row r="93" customFormat="false" ht="15" hidden="false" customHeight="false" outlineLevel="0" collapsed="false">
      <c r="A93" s="16" t="n">
        <v>46112</v>
      </c>
      <c r="B93" s="11" t="s">
        <v>61</v>
      </c>
      <c r="C93" s="12" t="s">
        <v>22</v>
      </c>
      <c r="D93" s="12" t="s">
        <v>19</v>
      </c>
      <c r="E93" s="12" t="s">
        <v>55</v>
      </c>
      <c r="F93" s="18" t="n">
        <v>100000</v>
      </c>
      <c r="G93" s="12" t="s">
        <v>829</v>
      </c>
      <c r="H93" s="12"/>
      <c r="I93" s="12" t="s">
        <v>965</v>
      </c>
      <c r="J93" s="12" t="s">
        <v>1048</v>
      </c>
      <c r="K93" s="12" t="s">
        <v>1049</v>
      </c>
    </row>
    <row r="94" customFormat="false" ht="15" hidden="false" customHeight="false" outlineLevel="0" collapsed="false">
      <c r="A94" s="16" t="n">
        <v>46112</v>
      </c>
      <c r="B94" s="13" t="s">
        <v>97</v>
      </c>
      <c r="C94" s="12" t="s">
        <v>22</v>
      </c>
      <c r="D94" s="12" t="s">
        <v>19</v>
      </c>
      <c r="E94" s="12" t="s">
        <v>55</v>
      </c>
      <c r="F94" s="18" t="n">
        <v>100000</v>
      </c>
      <c r="G94" s="12" t="s">
        <v>829</v>
      </c>
      <c r="H94" s="12"/>
      <c r="I94" s="12" t="s">
        <v>965</v>
      </c>
      <c r="J94" s="12" t="s">
        <v>1048</v>
      </c>
      <c r="K94" s="12" t="s">
        <v>1049</v>
      </c>
    </row>
    <row r="95" customFormat="false" ht="15" hidden="false" customHeight="false" outlineLevel="0" collapsed="false">
      <c r="A95" s="16" t="n">
        <v>46113</v>
      </c>
      <c r="B95" s="11" t="s">
        <v>57</v>
      </c>
      <c r="C95" s="12" t="s">
        <v>22</v>
      </c>
      <c r="D95" s="12" t="s">
        <v>19</v>
      </c>
      <c r="E95" s="12" t="s">
        <v>55</v>
      </c>
      <c r="F95" s="18" t="n">
        <v>100000</v>
      </c>
      <c r="G95" s="12" t="s">
        <v>829</v>
      </c>
      <c r="H95" s="12"/>
      <c r="I95" s="12" t="s">
        <v>965</v>
      </c>
      <c r="J95" s="12" t="s">
        <v>1050</v>
      </c>
      <c r="K95" s="12" t="s">
        <v>1051</v>
      </c>
    </row>
    <row r="96" customFormat="false" ht="15" hidden="false" customHeight="false" outlineLevel="0" collapsed="false">
      <c r="A96" s="16" t="n">
        <v>46116</v>
      </c>
      <c r="B96" s="13" t="s">
        <v>428</v>
      </c>
      <c r="C96" s="12" t="s">
        <v>24</v>
      </c>
      <c r="D96" s="12" t="s">
        <v>19</v>
      </c>
      <c r="E96" s="12" t="s">
        <v>55</v>
      </c>
      <c r="F96" s="18" t="n">
        <v>10500</v>
      </c>
      <c r="G96" s="12" t="s">
        <v>829</v>
      </c>
      <c r="H96" s="12"/>
      <c r="I96" s="12" t="s">
        <v>968</v>
      </c>
      <c r="J96" s="12" t="s">
        <v>1052</v>
      </c>
      <c r="K96" s="12" t="s">
        <v>1053</v>
      </c>
    </row>
    <row r="97" customFormat="false" ht="15" hidden="false" customHeight="false" outlineLevel="0" collapsed="false">
      <c r="A97" s="16" t="n">
        <v>46129</v>
      </c>
      <c r="B97" s="11" t="s">
        <v>407</v>
      </c>
      <c r="C97" s="12" t="s">
        <v>24</v>
      </c>
      <c r="D97" s="12" t="s">
        <v>19</v>
      </c>
      <c r="E97" s="12" t="s">
        <v>55</v>
      </c>
      <c r="F97" s="18" t="n">
        <v>10500</v>
      </c>
      <c r="G97" s="12" t="s">
        <v>829</v>
      </c>
      <c r="H97" s="12"/>
      <c r="I97" s="12" t="s">
        <v>968</v>
      </c>
      <c r="J97" s="12" t="s">
        <v>1054</v>
      </c>
      <c r="K97" s="12" t="s">
        <v>1055</v>
      </c>
    </row>
    <row r="98" customFormat="false" ht="15" hidden="false" customHeight="false" outlineLevel="0" collapsed="false">
      <c r="A98" s="16" t="n">
        <v>46136</v>
      </c>
      <c r="B98" s="13" t="s">
        <v>289</v>
      </c>
      <c r="C98" s="12" t="s">
        <v>23</v>
      </c>
      <c r="D98" s="12" t="s">
        <v>20</v>
      </c>
      <c r="E98" s="12" t="s">
        <v>290</v>
      </c>
      <c r="F98" s="12"/>
      <c r="G98" s="12"/>
      <c r="H98" s="12"/>
      <c r="I98" s="12"/>
      <c r="J98" s="12" t="s">
        <v>1056</v>
      </c>
      <c r="K98" s="12" t="s">
        <v>1057</v>
      </c>
    </row>
    <row r="99" customFormat="false" ht="15" hidden="false" customHeight="false" outlineLevel="0" collapsed="false">
      <c r="A99" s="16" t="n">
        <v>46137</v>
      </c>
      <c r="B99" s="11" t="s">
        <v>239</v>
      </c>
      <c r="C99" s="12" t="s">
        <v>23</v>
      </c>
      <c r="D99" s="12" t="s">
        <v>19</v>
      </c>
      <c r="E99" s="12" t="s">
        <v>55</v>
      </c>
      <c r="F99" s="18" t="n">
        <v>10500</v>
      </c>
      <c r="G99" s="12" t="s">
        <v>829</v>
      </c>
      <c r="H99" s="12"/>
      <c r="I99" s="12" t="s">
        <v>985</v>
      </c>
      <c r="J99" s="12" t="s">
        <v>1058</v>
      </c>
      <c r="K99" s="12" t="s">
        <v>1059</v>
      </c>
    </row>
    <row r="100" customFormat="false" ht="15" hidden="false" customHeight="false" outlineLevel="0" collapsed="false">
      <c r="A100" s="16" t="n">
        <v>46157</v>
      </c>
      <c r="B100" s="13" t="s">
        <v>540</v>
      </c>
      <c r="C100" s="12" t="s">
        <v>24</v>
      </c>
      <c r="D100" s="12" t="s">
        <v>20</v>
      </c>
      <c r="E100" s="12" t="s">
        <v>55</v>
      </c>
      <c r="F100" s="18" t="n">
        <v>9800</v>
      </c>
      <c r="G100" s="12" t="s">
        <v>829</v>
      </c>
      <c r="H100" s="12"/>
      <c r="I100" s="12" t="s">
        <v>971</v>
      </c>
      <c r="J100" s="12" t="s">
        <v>1060</v>
      </c>
      <c r="K100" s="12" t="s">
        <v>772</v>
      </c>
    </row>
    <row r="101" customFormat="false" ht="15" hidden="false" customHeight="false" outlineLevel="0" collapsed="false">
      <c r="A101" s="16" t="n">
        <v>46157</v>
      </c>
      <c r="B101" s="13" t="s">
        <v>411</v>
      </c>
      <c r="C101" s="12" t="s">
        <v>24</v>
      </c>
      <c r="D101" s="12" t="s">
        <v>20</v>
      </c>
      <c r="E101" s="12" t="s">
        <v>55</v>
      </c>
      <c r="F101" s="18" t="n">
        <v>9800</v>
      </c>
      <c r="G101" s="12" t="s">
        <v>829</v>
      </c>
      <c r="H101" s="12"/>
      <c r="I101" s="12" t="s">
        <v>971</v>
      </c>
      <c r="J101" s="12" t="s">
        <v>1060</v>
      </c>
      <c r="K101" s="12" t="s">
        <v>772</v>
      </c>
    </row>
    <row r="102" customFormat="false" ht="15" hidden="false" customHeight="false" outlineLevel="0" collapsed="false">
      <c r="A102" s="16" t="n">
        <v>46157</v>
      </c>
      <c r="B102" s="13" t="s">
        <v>538</v>
      </c>
      <c r="C102" s="12" t="s">
        <v>24</v>
      </c>
      <c r="D102" s="12" t="s">
        <v>20</v>
      </c>
      <c r="E102" s="12" t="s">
        <v>55</v>
      </c>
      <c r="F102" s="18" t="n">
        <v>9800</v>
      </c>
      <c r="G102" s="12" t="s">
        <v>829</v>
      </c>
      <c r="H102" s="12"/>
      <c r="I102" s="12" t="s">
        <v>971</v>
      </c>
      <c r="J102" s="12" t="s">
        <v>1060</v>
      </c>
      <c r="K102" s="12" t="s">
        <v>772</v>
      </c>
    </row>
    <row r="103" customFormat="false" ht="15" hidden="false" customHeight="false" outlineLevel="0" collapsed="false">
      <c r="A103" s="16" t="n">
        <v>46157</v>
      </c>
      <c r="B103" s="13" t="s">
        <v>466</v>
      </c>
      <c r="C103" s="12" t="s">
        <v>24</v>
      </c>
      <c r="D103" s="12" t="s">
        <v>20</v>
      </c>
      <c r="E103" s="12" t="s">
        <v>55</v>
      </c>
      <c r="F103" s="18" t="n">
        <v>9800</v>
      </c>
      <c r="G103" s="12" t="s">
        <v>829</v>
      </c>
      <c r="H103" s="12"/>
      <c r="I103" s="12" t="s">
        <v>971</v>
      </c>
      <c r="J103" s="12" t="s">
        <v>1060</v>
      </c>
      <c r="K103" s="12" t="s">
        <v>772</v>
      </c>
    </row>
    <row r="104" customFormat="false" ht="15" hidden="false" customHeight="false" outlineLevel="0" collapsed="false">
      <c r="A104" s="16" t="n">
        <v>46164</v>
      </c>
      <c r="B104" s="11" t="s">
        <v>409</v>
      </c>
      <c r="C104" s="12" t="s">
        <v>24</v>
      </c>
      <c r="D104" s="12" t="s">
        <v>19</v>
      </c>
      <c r="E104" s="12" t="s">
        <v>55</v>
      </c>
      <c r="F104" s="18" t="n">
        <v>10500</v>
      </c>
      <c r="G104" s="12" t="s">
        <v>829</v>
      </c>
      <c r="H104" s="12"/>
      <c r="I104" s="12" t="s">
        <v>968</v>
      </c>
      <c r="J104" s="12" t="s">
        <v>1061</v>
      </c>
      <c r="K104" s="12" t="s">
        <v>1062</v>
      </c>
    </row>
    <row r="105" customFormat="false" ht="15" hidden="false" customHeight="false" outlineLevel="0" collapsed="false">
      <c r="A105" s="16" t="n">
        <v>46168</v>
      </c>
      <c r="B105" s="13" t="s">
        <v>162</v>
      </c>
      <c r="C105" s="12" t="s">
        <v>22</v>
      </c>
      <c r="D105" s="12" t="s">
        <v>19</v>
      </c>
      <c r="E105" s="12" t="s">
        <v>163</v>
      </c>
      <c r="F105" s="12"/>
      <c r="G105" s="12"/>
      <c r="H105" s="12"/>
      <c r="I105" s="12"/>
      <c r="J105" s="12" t="s">
        <v>979</v>
      </c>
      <c r="K105" s="12" t="s">
        <v>1063</v>
      </c>
    </row>
    <row r="106" customFormat="false" ht="15" hidden="false" customHeight="false" outlineLevel="0" collapsed="false">
      <c r="A106" s="16" t="n">
        <v>46170</v>
      </c>
      <c r="B106" s="13" t="s">
        <v>429</v>
      </c>
      <c r="C106" s="12" t="s">
        <v>24</v>
      </c>
      <c r="D106" s="12" t="s">
        <v>19</v>
      </c>
      <c r="E106" s="12" t="s">
        <v>55</v>
      </c>
      <c r="F106" s="18" t="n">
        <v>10500</v>
      </c>
      <c r="G106" s="12" t="s">
        <v>829</v>
      </c>
      <c r="H106" s="12"/>
      <c r="I106" s="12" t="s">
        <v>968</v>
      </c>
      <c r="J106" s="12" t="s">
        <v>981</v>
      </c>
      <c r="K106" s="12" t="s">
        <v>1064</v>
      </c>
    </row>
    <row r="107" customFormat="false" ht="15" hidden="false" customHeight="false" outlineLevel="0" collapsed="false">
      <c r="A107" s="16" t="n">
        <v>46171</v>
      </c>
      <c r="B107" s="13" t="s">
        <v>510</v>
      </c>
      <c r="C107" s="12" t="s">
        <v>24</v>
      </c>
      <c r="D107" s="12" t="s">
        <v>20</v>
      </c>
      <c r="E107" s="12" t="s">
        <v>55</v>
      </c>
      <c r="F107" s="18" t="n">
        <v>9800</v>
      </c>
      <c r="G107" s="12" t="s">
        <v>829</v>
      </c>
      <c r="H107" s="12"/>
      <c r="I107" s="12" t="s">
        <v>971</v>
      </c>
      <c r="J107" s="12" t="s">
        <v>1065</v>
      </c>
      <c r="K107" s="12" t="s">
        <v>1066</v>
      </c>
    </row>
    <row r="108" customFormat="false" ht="15" hidden="false" customHeight="false" outlineLevel="0" collapsed="false">
      <c r="A108" s="16" t="n">
        <v>46171</v>
      </c>
      <c r="B108" s="13" t="s">
        <v>480</v>
      </c>
      <c r="C108" s="12" t="s">
        <v>24</v>
      </c>
      <c r="D108" s="12" t="s">
        <v>20</v>
      </c>
      <c r="E108" s="12" t="s">
        <v>55</v>
      </c>
      <c r="F108" s="18" t="n">
        <v>9800</v>
      </c>
      <c r="G108" s="12" t="s">
        <v>829</v>
      </c>
      <c r="H108" s="12"/>
      <c r="I108" s="12" t="s">
        <v>971</v>
      </c>
      <c r="J108" s="12" t="s">
        <v>1065</v>
      </c>
      <c r="K108" s="12" t="s">
        <v>1066</v>
      </c>
    </row>
    <row r="109" customFormat="false" ht="15" hidden="false" customHeight="false" outlineLevel="0" collapsed="false">
      <c r="A109" s="16" t="n">
        <v>46171</v>
      </c>
      <c r="B109" s="13" t="s">
        <v>548</v>
      </c>
      <c r="C109" s="12" t="s">
        <v>24</v>
      </c>
      <c r="D109" s="12" t="s">
        <v>20</v>
      </c>
      <c r="E109" s="12" t="s">
        <v>55</v>
      </c>
      <c r="F109" s="18" t="n">
        <v>9800</v>
      </c>
      <c r="G109" s="12" t="s">
        <v>829</v>
      </c>
      <c r="H109" s="12"/>
      <c r="I109" s="12" t="s">
        <v>971</v>
      </c>
      <c r="J109" s="12" t="s">
        <v>1065</v>
      </c>
      <c r="K109" s="12" t="s">
        <v>1066</v>
      </c>
    </row>
    <row r="110" customFormat="false" ht="15" hidden="false" customHeight="false" outlineLevel="0" collapsed="false">
      <c r="A110" s="16" t="n">
        <v>46185</v>
      </c>
      <c r="B110" s="13" t="s">
        <v>147</v>
      </c>
      <c r="C110" s="12" t="s">
        <v>22</v>
      </c>
      <c r="D110" s="12" t="s">
        <v>20</v>
      </c>
      <c r="E110" s="12" t="s">
        <v>55</v>
      </c>
      <c r="F110" s="18" t="n">
        <v>70000</v>
      </c>
      <c r="G110" s="12" t="s">
        <v>829</v>
      </c>
      <c r="H110" s="12"/>
      <c r="I110" s="12" t="s">
        <v>989</v>
      </c>
      <c r="J110" s="12" t="s">
        <v>990</v>
      </c>
      <c r="K110" s="12" t="s">
        <v>1067</v>
      </c>
    </row>
    <row r="111" customFormat="false" ht="15" hidden="false" customHeight="false" outlineLevel="0" collapsed="false">
      <c r="A111" s="16" t="n">
        <v>46185</v>
      </c>
      <c r="B111" s="13" t="s">
        <v>104</v>
      </c>
      <c r="C111" s="12" t="s">
        <v>22</v>
      </c>
      <c r="D111" s="12" t="s">
        <v>20</v>
      </c>
      <c r="E111" s="12" t="s">
        <v>55</v>
      </c>
      <c r="F111" s="18" t="n">
        <v>70000</v>
      </c>
      <c r="G111" s="12" t="s">
        <v>829</v>
      </c>
      <c r="H111" s="12"/>
      <c r="I111" s="12" t="s">
        <v>989</v>
      </c>
      <c r="J111" s="12" t="s">
        <v>990</v>
      </c>
      <c r="K111" s="12" t="s">
        <v>1067</v>
      </c>
    </row>
    <row r="112" customFormat="false" ht="15" hidden="false" customHeight="false" outlineLevel="0" collapsed="false">
      <c r="A112" s="16" t="n">
        <v>46192</v>
      </c>
      <c r="B112" s="13" t="s">
        <v>184</v>
      </c>
      <c r="C112" s="12" t="s">
        <v>22</v>
      </c>
      <c r="D112" s="12" t="s">
        <v>19</v>
      </c>
      <c r="E112" s="12" t="s">
        <v>55</v>
      </c>
      <c r="F112" s="18" t="n">
        <v>100000</v>
      </c>
      <c r="G112" s="12" t="s">
        <v>829</v>
      </c>
      <c r="H112" s="12"/>
      <c r="I112" s="12" t="s">
        <v>965</v>
      </c>
      <c r="J112" s="12" t="s">
        <v>1001</v>
      </c>
      <c r="K112" s="12" t="s">
        <v>1068</v>
      </c>
    </row>
    <row r="113" customFormat="false" ht="15" hidden="false" customHeight="false" outlineLevel="0" collapsed="false">
      <c r="A113" s="16" t="n">
        <v>46214</v>
      </c>
      <c r="B113" s="11" t="s">
        <v>242</v>
      </c>
      <c r="C113" s="12" t="s">
        <v>23</v>
      </c>
      <c r="D113" s="12" t="s">
        <v>19</v>
      </c>
      <c r="E113" s="12" t="s">
        <v>55</v>
      </c>
      <c r="F113" s="18" t="n">
        <v>10500</v>
      </c>
      <c r="G113" s="12" t="s">
        <v>829</v>
      </c>
      <c r="H113" s="12"/>
      <c r="I113" s="12" t="s">
        <v>985</v>
      </c>
      <c r="J113" s="12" t="s">
        <v>1069</v>
      </c>
      <c r="K113" s="12" t="s">
        <v>1070</v>
      </c>
    </row>
    <row r="114" customFormat="false" ht="15" hidden="false" customHeight="false" outlineLevel="0" collapsed="false">
      <c r="A114" s="16" t="n">
        <v>46214</v>
      </c>
      <c r="B114" s="11" t="s">
        <v>243</v>
      </c>
      <c r="C114" s="12" t="s">
        <v>23</v>
      </c>
      <c r="D114" s="12" t="s">
        <v>19</v>
      </c>
      <c r="E114" s="12" t="s">
        <v>55</v>
      </c>
      <c r="F114" s="18" t="n">
        <v>10500</v>
      </c>
      <c r="G114" s="12" t="s">
        <v>829</v>
      </c>
      <c r="H114" s="12"/>
      <c r="I114" s="12" t="s">
        <v>985</v>
      </c>
      <c r="J114" s="12" t="s">
        <v>1069</v>
      </c>
      <c r="K114" s="12" t="s">
        <v>1070</v>
      </c>
    </row>
    <row r="115" customFormat="false" ht="15" hidden="false" customHeight="false" outlineLevel="0" collapsed="false">
      <c r="A115" s="16" t="n">
        <v>46217</v>
      </c>
      <c r="B115" s="13" t="s">
        <v>431</v>
      </c>
      <c r="C115" s="12" t="s">
        <v>24</v>
      </c>
      <c r="D115" s="12" t="s">
        <v>19</v>
      </c>
      <c r="E115" s="12" t="s">
        <v>55</v>
      </c>
      <c r="F115" s="19" t="n">
        <v>9800</v>
      </c>
      <c r="G115" s="12" t="s">
        <v>1071</v>
      </c>
      <c r="H115" s="20" t="n">
        <v>28</v>
      </c>
      <c r="I115" s="12" t="s">
        <v>1072</v>
      </c>
      <c r="J115" s="12" t="s">
        <v>981</v>
      </c>
      <c r="K115" s="12" t="s">
        <v>1073</v>
      </c>
    </row>
    <row r="116" customFormat="false" ht="15" hidden="false" customHeight="false" outlineLevel="0" collapsed="false">
      <c r="A116" s="16" t="n">
        <v>46252</v>
      </c>
      <c r="B116" s="13" t="s">
        <v>247</v>
      </c>
      <c r="C116" s="12" t="s">
        <v>23</v>
      </c>
      <c r="D116" s="12" t="s">
        <v>19</v>
      </c>
      <c r="E116" s="12" t="s">
        <v>55</v>
      </c>
      <c r="F116" s="19" t="n">
        <v>8900</v>
      </c>
      <c r="G116" s="12" t="s">
        <v>829</v>
      </c>
      <c r="H116" s="20" t="n">
        <v>25.4</v>
      </c>
      <c r="I116" s="12" t="s">
        <v>1074</v>
      </c>
      <c r="J116" s="12" t="s">
        <v>1075</v>
      </c>
      <c r="K116" s="12" t="s">
        <v>1076</v>
      </c>
    </row>
    <row r="117" customFormat="false" ht="15" hidden="false" customHeight="false" outlineLevel="0" collapsed="false">
      <c r="A117" s="16" t="n">
        <v>46252</v>
      </c>
      <c r="B117" s="13" t="s">
        <v>276</v>
      </c>
      <c r="C117" s="12" t="s">
        <v>23</v>
      </c>
      <c r="D117" s="12" t="s">
        <v>19</v>
      </c>
      <c r="E117" s="12" t="s">
        <v>55</v>
      </c>
      <c r="F117" s="19" t="n">
        <v>8900</v>
      </c>
      <c r="G117" s="12" t="s">
        <v>829</v>
      </c>
      <c r="H117" s="20" t="n">
        <v>25.4</v>
      </c>
      <c r="I117" s="12" t="s">
        <v>1074</v>
      </c>
      <c r="J117" s="12" t="s">
        <v>1075</v>
      </c>
      <c r="K117" s="12" t="s">
        <v>1076</v>
      </c>
    </row>
    <row r="118" customFormat="false" ht="15" hidden="false" customHeight="false" outlineLevel="0" collapsed="false">
      <c r="A118" s="16" t="n">
        <v>46252</v>
      </c>
      <c r="B118" s="13" t="s">
        <v>251</v>
      </c>
      <c r="C118" s="12" t="s">
        <v>23</v>
      </c>
      <c r="D118" s="12" t="s">
        <v>19</v>
      </c>
      <c r="E118" s="12" t="s">
        <v>55</v>
      </c>
      <c r="F118" s="19" t="n">
        <v>8900</v>
      </c>
      <c r="G118" s="12" t="s">
        <v>829</v>
      </c>
      <c r="H118" s="20" t="n">
        <v>25.4</v>
      </c>
      <c r="I118" s="12" t="s">
        <v>1074</v>
      </c>
      <c r="J118" s="12" t="s">
        <v>1075</v>
      </c>
      <c r="K118" s="12" t="s">
        <v>1076</v>
      </c>
    </row>
    <row r="119" customFormat="false" ht="15" hidden="false" customHeight="false" outlineLevel="0" collapsed="false">
      <c r="A119" s="16" t="n">
        <v>46252</v>
      </c>
      <c r="B119" s="13" t="s">
        <v>274</v>
      </c>
      <c r="C119" s="12" t="s">
        <v>23</v>
      </c>
      <c r="D119" s="12" t="s">
        <v>19</v>
      </c>
      <c r="E119" s="12" t="s">
        <v>55</v>
      </c>
      <c r="F119" s="19" t="n">
        <v>8900</v>
      </c>
      <c r="G119" s="12" t="s">
        <v>829</v>
      </c>
      <c r="H119" s="20" t="n">
        <v>25.4</v>
      </c>
      <c r="I119" s="12" t="s">
        <v>1074</v>
      </c>
      <c r="J119" s="12" t="s">
        <v>1075</v>
      </c>
      <c r="K119" s="12" t="s">
        <v>1076</v>
      </c>
    </row>
    <row r="120" customFormat="false" ht="15" hidden="false" customHeight="false" outlineLevel="0" collapsed="false">
      <c r="A120" s="16" t="n">
        <v>46252</v>
      </c>
      <c r="B120" s="13" t="s">
        <v>259</v>
      </c>
      <c r="C120" s="12" t="s">
        <v>23</v>
      </c>
      <c r="D120" s="12" t="s">
        <v>19</v>
      </c>
      <c r="E120" s="12" t="s">
        <v>55</v>
      </c>
      <c r="F120" s="19" t="n">
        <v>8900</v>
      </c>
      <c r="G120" s="12" t="s">
        <v>829</v>
      </c>
      <c r="H120" s="20" t="n">
        <v>25.4</v>
      </c>
      <c r="I120" s="12" t="s">
        <v>1074</v>
      </c>
      <c r="J120" s="12" t="s">
        <v>1075</v>
      </c>
      <c r="K120" s="12" t="s">
        <v>1076</v>
      </c>
    </row>
    <row r="121" customFormat="false" ht="15" hidden="false" customHeight="false" outlineLevel="0" collapsed="false">
      <c r="A121" s="16" t="n">
        <v>46252</v>
      </c>
      <c r="B121" s="13" t="s">
        <v>260</v>
      </c>
      <c r="C121" s="12" t="s">
        <v>23</v>
      </c>
      <c r="D121" s="12" t="s">
        <v>19</v>
      </c>
      <c r="E121" s="12" t="s">
        <v>55</v>
      </c>
      <c r="F121" s="19" t="n">
        <v>8900</v>
      </c>
      <c r="G121" s="12" t="s">
        <v>829</v>
      </c>
      <c r="H121" s="20" t="n">
        <v>25.4</v>
      </c>
      <c r="I121" s="12" t="s">
        <v>1074</v>
      </c>
      <c r="J121" s="12" t="s">
        <v>1075</v>
      </c>
      <c r="K121" s="12" t="s">
        <v>1076</v>
      </c>
    </row>
    <row r="122" customFormat="false" ht="15" hidden="false" customHeight="false" outlineLevel="0" collapsed="false">
      <c r="A122" s="16" t="n">
        <v>46252</v>
      </c>
      <c r="B122" s="13" t="s">
        <v>253</v>
      </c>
      <c r="C122" s="12" t="s">
        <v>23</v>
      </c>
      <c r="D122" s="12" t="s">
        <v>19</v>
      </c>
      <c r="E122" s="12" t="s">
        <v>55</v>
      </c>
      <c r="F122" s="19" t="n">
        <v>8900</v>
      </c>
      <c r="G122" s="12" t="s">
        <v>829</v>
      </c>
      <c r="H122" s="20" t="n">
        <v>25.4</v>
      </c>
      <c r="I122" s="12" t="s">
        <v>1074</v>
      </c>
      <c r="J122" s="12" t="s">
        <v>1075</v>
      </c>
      <c r="K122" s="12" t="s">
        <v>1076</v>
      </c>
    </row>
    <row r="123" customFormat="false" ht="15" hidden="false" customHeight="false" outlineLevel="0" collapsed="false">
      <c r="A123" s="16" t="n">
        <v>46261</v>
      </c>
      <c r="B123" s="13" t="s">
        <v>629</v>
      </c>
      <c r="C123" s="12" t="s">
        <v>24</v>
      </c>
      <c r="D123" s="12" t="s">
        <v>20</v>
      </c>
      <c r="E123" s="12" t="s">
        <v>163</v>
      </c>
      <c r="F123" s="12"/>
      <c r="G123" s="12"/>
      <c r="H123" s="12"/>
      <c r="I123" s="12"/>
      <c r="J123" s="12" t="s">
        <v>1077</v>
      </c>
      <c r="K123" s="12" t="s">
        <v>1078</v>
      </c>
    </row>
    <row r="124" customFormat="false" ht="15" hidden="false" customHeight="false" outlineLevel="0" collapsed="false">
      <c r="A124" s="16" t="n">
        <v>46270</v>
      </c>
      <c r="B124" s="13" t="s">
        <v>495</v>
      </c>
      <c r="C124" s="12" t="s">
        <v>24</v>
      </c>
      <c r="D124" s="12" t="s">
        <v>20</v>
      </c>
      <c r="E124" s="12" t="s">
        <v>55</v>
      </c>
      <c r="F124" s="18" t="n">
        <v>9800</v>
      </c>
      <c r="G124" s="12" t="s">
        <v>829</v>
      </c>
      <c r="H124" s="12"/>
      <c r="I124" s="12" t="s">
        <v>971</v>
      </c>
      <c r="J124" s="12" t="s">
        <v>1009</v>
      </c>
      <c r="K124" s="12" t="s">
        <v>957</v>
      </c>
    </row>
    <row r="126" customFormat="false" ht="15" hidden="false" customHeight="false" outlineLevel="0" collapsed="false">
      <c r="E126" s="9" t="s">
        <v>1079</v>
      </c>
      <c r="F126" s="21" t="n">
        <f aca="false">SUMIFS(F2:F124,E2:E124,"Sold")</f>
        <v>4778099</v>
      </c>
    </row>
    <row r="127" customFormat="false" ht="15" hidden="false" customHeight="false" outlineLevel="0" collapsed="false">
      <c r="E127" s="8" t="s">
        <v>1080</v>
      </c>
      <c r="F127" s="22" t="n">
        <f aca="false">SUMIFS(F2:F124,E2:E124,"Sold",I2:I124,"&lt;&gt;Estimate*")</f>
        <v>1254299</v>
      </c>
    </row>
  </sheetData>
  <autoFilter ref="A1:K12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9"/>
    <col collapsed="false" customWidth="true" hidden="false" outlineLevel="0" max="4" min="4" style="0" width="12"/>
    <col collapsed="false" customWidth="true" hidden="false" outlineLevel="0" max="5" min="5" style="0" width="34"/>
    <col collapsed="false" customWidth="true" hidden="false" outlineLevel="0" max="6" min="6" style="0" width="12"/>
    <col collapsed="false" customWidth="true" hidden="false" outlineLevel="0" max="7" min="7" style="0" width="40"/>
    <col collapsed="false" customWidth="true" hidden="false" outlineLevel="0" max="8" min="8" style="0" width="22"/>
    <col collapsed="false" customWidth="true" hidden="false" outlineLevel="0" max="9" min="9" style="0" width="46"/>
    <col collapsed="false" customWidth="true" hidden="false" outlineLevel="0" max="10" min="10" style="0" width="22"/>
  </cols>
  <sheetData>
    <row r="1" customFormat="false" ht="23.85" hidden="false" customHeight="false" outlineLevel="0" collapsed="false">
      <c r="A1" s="10" t="s">
        <v>642</v>
      </c>
      <c r="B1" s="10" t="s">
        <v>26</v>
      </c>
      <c r="C1" s="10" t="s">
        <v>18</v>
      </c>
      <c r="D1" s="10" t="s">
        <v>1081</v>
      </c>
      <c r="E1" s="10" t="s">
        <v>1082</v>
      </c>
      <c r="F1" s="10" t="s">
        <v>1083</v>
      </c>
      <c r="G1" s="10" t="s">
        <v>1084</v>
      </c>
      <c r="H1" s="10" t="s">
        <v>1085</v>
      </c>
      <c r="I1" s="10" t="s">
        <v>38</v>
      </c>
      <c r="J1" s="10" t="s">
        <v>646</v>
      </c>
    </row>
    <row r="2" customFormat="false" ht="15" hidden="false" customHeight="false" outlineLevel="0" collapsed="false">
      <c r="A2" s="16" t="n">
        <v>46106</v>
      </c>
      <c r="B2" s="11" t="s">
        <v>224</v>
      </c>
      <c r="C2" s="12" t="s">
        <v>22</v>
      </c>
      <c r="D2" s="11" t="s">
        <v>1086</v>
      </c>
      <c r="E2" s="12"/>
      <c r="F2" s="12"/>
      <c r="G2" s="11" t="s">
        <v>1087</v>
      </c>
      <c r="H2" s="11" t="s">
        <v>1088</v>
      </c>
      <c r="I2" s="12" t="s">
        <v>1089</v>
      </c>
      <c r="J2" s="12" t="s">
        <v>1090</v>
      </c>
    </row>
    <row r="3" customFormat="false" ht="15" hidden="false" customHeight="false" outlineLevel="0" collapsed="false">
      <c r="A3" s="16" t="n">
        <v>46106</v>
      </c>
      <c r="B3" s="11" t="s">
        <v>64</v>
      </c>
      <c r="C3" s="12" t="s">
        <v>22</v>
      </c>
      <c r="D3" s="11" t="s">
        <v>1091</v>
      </c>
      <c r="E3" s="11" t="s">
        <v>1092</v>
      </c>
      <c r="F3" s="12"/>
      <c r="G3" s="11" t="s">
        <v>1093</v>
      </c>
      <c r="H3" s="11" t="s">
        <v>1094</v>
      </c>
      <c r="I3" s="12" t="s">
        <v>1095</v>
      </c>
      <c r="J3" s="12" t="s">
        <v>1090</v>
      </c>
    </row>
    <row r="4" customFormat="false" ht="15" hidden="false" customHeight="false" outlineLevel="0" collapsed="false">
      <c r="A4" s="16" t="n">
        <v>46106</v>
      </c>
      <c r="B4" s="13" t="s">
        <v>550</v>
      </c>
      <c r="C4" s="12" t="s">
        <v>24</v>
      </c>
      <c r="D4" s="11" t="s">
        <v>1091</v>
      </c>
      <c r="E4" s="11" t="s">
        <v>1096</v>
      </c>
      <c r="F4" s="12"/>
      <c r="G4" s="11" t="s">
        <v>1097</v>
      </c>
      <c r="H4" s="11" t="s">
        <v>1098</v>
      </c>
      <c r="I4" s="12" t="s">
        <v>1099</v>
      </c>
      <c r="J4" s="12" t="s">
        <v>1090</v>
      </c>
    </row>
    <row r="5" customFormat="false" ht="15" hidden="false" customHeight="false" outlineLevel="0" collapsed="false">
      <c r="A5" s="16" t="n">
        <v>46107</v>
      </c>
      <c r="B5" s="11" t="s">
        <v>52</v>
      </c>
      <c r="C5" s="12" t="s">
        <v>22</v>
      </c>
      <c r="D5" s="11" t="s">
        <v>1091</v>
      </c>
      <c r="E5" s="11" t="s">
        <v>1100</v>
      </c>
      <c r="F5" s="12"/>
      <c r="G5" s="11" t="s">
        <v>1097</v>
      </c>
      <c r="H5" s="11" t="s">
        <v>1101</v>
      </c>
      <c r="I5" s="12"/>
      <c r="J5" s="12" t="s">
        <v>1090</v>
      </c>
    </row>
    <row r="6" customFormat="false" ht="15" hidden="false" customHeight="false" outlineLevel="0" collapsed="false">
      <c r="A6" s="16" t="n">
        <v>46108</v>
      </c>
      <c r="B6" s="11" t="s">
        <v>52</v>
      </c>
      <c r="C6" s="12" t="s">
        <v>22</v>
      </c>
      <c r="D6" s="11" t="s">
        <v>1086</v>
      </c>
      <c r="E6" s="11" t="s">
        <v>1100</v>
      </c>
      <c r="F6" s="12"/>
      <c r="G6" s="11" t="s">
        <v>1097</v>
      </c>
      <c r="H6" s="11" t="s">
        <v>1101</v>
      </c>
      <c r="I6" s="12" t="s">
        <v>1102</v>
      </c>
      <c r="J6" s="12" t="s">
        <v>1090</v>
      </c>
    </row>
    <row r="7" customFormat="false" ht="15" hidden="false" customHeight="false" outlineLevel="0" collapsed="false">
      <c r="A7" s="16" t="n">
        <v>46123</v>
      </c>
      <c r="B7" s="11" t="s">
        <v>59</v>
      </c>
      <c r="C7" s="12" t="s">
        <v>22</v>
      </c>
      <c r="D7" s="11" t="s">
        <v>1091</v>
      </c>
      <c r="E7" s="11" t="s">
        <v>1103</v>
      </c>
      <c r="F7" s="20" t="n">
        <v>40</v>
      </c>
      <c r="G7" s="11" t="s">
        <v>1104</v>
      </c>
      <c r="H7" s="11" t="s">
        <v>1101</v>
      </c>
      <c r="I7" s="12"/>
      <c r="J7" s="12" t="s">
        <v>1090</v>
      </c>
    </row>
    <row r="8" customFormat="false" ht="15" hidden="false" customHeight="false" outlineLevel="0" collapsed="false">
      <c r="A8" s="16" t="n">
        <v>46124</v>
      </c>
      <c r="B8" s="11" t="s">
        <v>59</v>
      </c>
      <c r="C8" s="12" t="s">
        <v>22</v>
      </c>
      <c r="D8" s="11" t="s">
        <v>1086</v>
      </c>
      <c r="E8" s="11" t="s">
        <v>1103</v>
      </c>
      <c r="F8" s="12"/>
      <c r="G8" s="11" t="s">
        <v>1104</v>
      </c>
      <c r="H8" s="11" t="s">
        <v>1101</v>
      </c>
      <c r="I8" s="12" t="s">
        <v>1102</v>
      </c>
      <c r="J8" s="12" t="s">
        <v>1090</v>
      </c>
    </row>
    <row r="9" customFormat="false" ht="15" hidden="false" customHeight="false" outlineLevel="0" collapsed="false">
      <c r="A9" s="16" t="n">
        <v>46124</v>
      </c>
      <c r="B9" s="11" t="s">
        <v>44</v>
      </c>
      <c r="C9" s="12" t="s">
        <v>22</v>
      </c>
      <c r="D9" s="11" t="s">
        <v>1091</v>
      </c>
      <c r="E9" s="11" t="s">
        <v>1103</v>
      </c>
      <c r="F9" s="20" t="n">
        <v>40</v>
      </c>
      <c r="G9" s="11" t="s">
        <v>1104</v>
      </c>
      <c r="H9" s="11" t="s">
        <v>1101</v>
      </c>
      <c r="I9" s="12"/>
      <c r="J9" s="12" t="s">
        <v>1090</v>
      </c>
    </row>
    <row r="10" customFormat="false" ht="15" hidden="false" customHeight="false" outlineLevel="0" collapsed="false">
      <c r="A10" s="16" t="n">
        <v>46124</v>
      </c>
      <c r="B10" s="11" t="s">
        <v>62</v>
      </c>
      <c r="C10" s="12" t="s">
        <v>22</v>
      </c>
      <c r="D10" s="11" t="s">
        <v>1091</v>
      </c>
      <c r="E10" s="11" t="s">
        <v>1103</v>
      </c>
      <c r="F10" s="20" t="n">
        <v>40</v>
      </c>
      <c r="G10" s="11" t="s">
        <v>1104</v>
      </c>
      <c r="H10" s="11" t="s">
        <v>1101</v>
      </c>
      <c r="I10" s="12"/>
      <c r="J10" s="12" t="s">
        <v>1090</v>
      </c>
    </row>
    <row r="11" customFormat="false" ht="15" hidden="false" customHeight="false" outlineLevel="0" collapsed="false">
      <c r="A11" s="16" t="n">
        <v>46127</v>
      </c>
      <c r="B11" s="11" t="s">
        <v>62</v>
      </c>
      <c r="C11" s="12" t="s">
        <v>22</v>
      </c>
      <c r="D11" s="11" t="s">
        <v>1086</v>
      </c>
      <c r="E11" s="11" t="s">
        <v>1103</v>
      </c>
      <c r="F11" s="12"/>
      <c r="G11" s="11" t="s">
        <v>1104</v>
      </c>
      <c r="H11" s="11" t="s">
        <v>1105</v>
      </c>
      <c r="I11" s="12" t="s">
        <v>1102</v>
      </c>
      <c r="J11" s="12" t="s">
        <v>1090</v>
      </c>
    </row>
    <row r="12" customFormat="false" ht="15" hidden="false" customHeight="false" outlineLevel="0" collapsed="false">
      <c r="A12" s="16" t="n">
        <v>46127</v>
      </c>
      <c r="B12" s="11" t="s">
        <v>44</v>
      </c>
      <c r="C12" s="12" t="s">
        <v>22</v>
      </c>
      <c r="D12" s="11" t="s">
        <v>1086</v>
      </c>
      <c r="E12" s="11" t="s">
        <v>1103</v>
      </c>
      <c r="F12" s="20" t="n">
        <v>40</v>
      </c>
      <c r="G12" s="11" t="s">
        <v>1104</v>
      </c>
      <c r="H12" s="11" t="s">
        <v>1101</v>
      </c>
      <c r="I12" s="12" t="s">
        <v>1102</v>
      </c>
      <c r="J12" s="12" t="s">
        <v>1090</v>
      </c>
    </row>
    <row r="13" customFormat="false" ht="15" hidden="false" customHeight="false" outlineLevel="0" collapsed="false">
      <c r="A13" s="16" t="n">
        <v>46127</v>
      </c>
      <c r="B13" s="11" t="s">
        <v>59</v>
      </c>
      <c r="C13" s="12" t="s">
        <v>22</v>
      </c>
      <c r="D13" s="11" t="s">
        <v>1086</v>
      </c>
      <c r="E13" s="11" t="s">
        <v>1103</v>
      </c>
      <c r="F13" s="20" t="n">
        <v>40</v>
      </c>
      <c r="G13" s="11" t="s">
        <v>1104</v>
      </c>
      <c r="H13" s="11" t="s">
        <v>1101</v>
      </c>
      <c r="I13" s="12" t="s">
        <v>1102</v>
      </c>
      <c r="J13" s="12" t="s">
        <v>1090</v>
      </c>
    </row>
    <row r="14" customFormat="false" ht="15" hidden="false" customHeight="false" outlineLevel="0" collapsed="false">
      <c r="A14" s="16" t="n">
        <v>46131</v>
      </c>
      <c r="B14" s="11" t="s">
        <v>63</v>
      </c>
      <c r="C14" s="12" t="s">
        <v>22</v>
      </c>
      <c r="D14" s="11" t="s">
        <v>1091</v>
      </c>
      <c r="E14" s="11" t="s">
        <v>1103</v>
      </c>
      <c r="F14" s="20" t="n">
        <v>40</v>
      </c>
      <c r="G14" s="11" t="s">
        <v>1104</v>
      </c>
      <c r="H14" s="11" t="s">
        <v>1101</v>
      </c>
      <c r="I14" s="12"/>
      <c r="J14" s="12" t="s">
        <v>1090</v>
      </c>
    </row>
    <row r="15" customFormat="false" ht="15" hidden="false" customHeight="false" outlineLevel="0" collapsed="false">
      <c r="A15" s="16" t="n">
        <v>46133</v>
      </c>
      <c r="B15" s="11" t="s">
        <v>56</v>
      </c>
      <c r="C15" s="12" t="s">
        <v>22</v>
      </c>
      <c r="D15" s="11" t="s">
        <v>1091</v>
      </c>
      <c r="E15" s="11" t="s">
        <v>1103</v>
      </c>
      <c r="F15" s="20" t="n">
        <v>38.6</v>
      </c>
      <c r="G15" s="11" t="s">
        <v>1093</v>
      </c>
      <c r="H15" s="11" t="s">
        <v>1106</v>
      </c>
      <c r="I15" s="12" t="s">
        <v>1107</v>
      </c>
      <c r="J15" s="12" t="s">
        <v>1090</v>
      </c>
    </row>
    <row r="16" customFormat="false" ht="15" hidden="false" customHeight="false" outlineLevel="0" collapsed="false">
      <c r="A16" s="16" t="n">
        <v>46134</v>
      </c>
      <c r="B16" s="11" t="s">
        <v>44</v>
      </c>
      <c r="C16" s="12" t="s">
        <v>22</v>
      </c>
      <c r="D16" s="11" t="s">
        <v>1086</v>
      </c>
      <c r="E16" s="11" t="s">
        <v>1103</v>
      </c>
      <c r="F16" s="20" t="n">
        <v>41</v>
      </c>
      <c r="G16" s="11" t="s">
        <v>1093</v>
      </c>
      <c r="H16" s="11" t="s">
        <v>1108</v>
      </c>
      <c r="I16" s="12" t="s">
        <v>1102</v>
      </c>
      <c r="J16" s="12" t="s">
        <v>1090</v>
      </c>
    </row>
    <row r="17" customFormat="false" ht="15" hidden="false" customHeight="false" outlineLevel="0" collapsed="false">
      <c r="A17" s="16" t="n">
        <v>46136</v>
      </c>
      <c r="B17" s="11" t="s">
        <v>39</v>
      </c>
      <c r="C17" s="12" t="s">
        <v>22</v>
      </c>
      <c r="D17" s="11" t="s">
        <v>1091</v>
      </c>
      <c r="E17" s="11" t="s">
        <v>1109</v>
      </c>
      <c r="F17" s="20" t="n">
        <v>41</v>
      </c>
      <c r="G17" s="11" t="s">
        <v>1097</v>
      </c>
      <c r="H17" s="11" t="s">
        <v>1110</v>
      </c>
      <c r="I17" s="12"/>
      <c r="J17" s="12" t="s">
        <v>1090</v>
      </c>
    </row>
    <row r="18" customFormat="false" ht="15" hidden="false" customHeight="false" outlineLevel="0" collapsed="false">
      <c r="A18" s="16" t="n">
        <v>46140</v>
      </c>
      <c r="B18" s="11" t="s">
        <v>56</v>
      </c>
      <c r="C18" s="12" t="s">
        <v>22</v>
      </c>
      <c r="D18" s="11" t="s">
        <v>1086</v>
      </c>
      <c r="E18" s="11" t="s">
        <v>1103</v>
      </c>
      <c r="F18" s="20" t="n">
        <v>40</v>
      </c>
      <c r="G18" s="11" t="s">
        <v>1097</v>
      </c>
      <c r="H18" s="11" t="s">
        <v>1101</v>
      </c>
      <c r="I18" s="12" t="s">
        <v>1102</v>
      </c>
      <c r="J18" s="12" t="s">
        <v>1090</v>
      </c>
    </row>
    <row r="19" customFormat="false" ht="15" hidden="false" customHeight="false" outlineLevel="0" collapsed="false">
      <c r="A19" s="16" t="n">
        <v>46146</v>
      </c>
      <c r="B19" s="11" t="s">
        <v>51</v>
      </c>
      <c r="C19" s="12" t="s">
        <v>22</v>
      </c>
      <c r="D19" s="11" t="s">
        <v>1091</v>
      </c>
      <c r="E19" s="11" t="s">
        <v>1103</v>
      </c>
      <c r="F19" s="20" t="n">
        <v>41</v>
      </c>
      <c r="G19" s="11" t="s">
        <v>1097</v>
      </c>
      <c r="H19" s="11" t="s">
        <v>1101</v>
      </c>
      <c r="I19" s="12"/>
      <c r="J19" s="12" t="s">
        <v>1090</v>
      </c>
    </row>
    <row r="20" customFormat="false" ht="15" hidden="false" customHeight="false" outlineLevel="0" collapsed="false">
      <c r="A20" s="16" t="n">
        <v>46147</v>
      </c>
      <c r="B20" s="11" t="s">
        <v>56</v>
      </c>
      <c r="C20" s="12" t="s">
        <v>22</v>
      </c>
      <c r="D20" s="11" t="s">
        <v>1086</v>
      </c>
      <c r="E20" s="11" t="s">
        <v>1103</v>
      </c>
      <c r="F20" s="20" t="n">
        <v>41</v>
      </c>
      <c r="G20" s="11" t="s">
        <v>1097</v>
      </c>
      <c r="H20" s="11" t="s">
        <v>1110</v>
      </c>
      <c r="I20" s="12" t="s">
        <v>1102</v>
      </c>
      <c r="J20" s="12" t="s">
        <v>1090</v>
      </c>
    </row>
    <row r="21" customFormat="false" ht="15" hidden="false" customHeight="false" outlineLevel="0" collapsed="false">
      <c r="A21" s="16" t="n">
        <v>46147</v>
      </c>
      <c r="B21" s="11" t="s">
        <v>51</v>
      </c>
      <c r="C21" s="12" t="s">
        <v>22</v>
      </c>
      <c r="D21" s="11" t="s">
        <v>1086</v>
      </c>
      <c r="E21" s="11" t="s">
        <v>1103</v>
      </c>
      <c r="F21" s="20" t="n">
        <v>40</v>
      </c>
      <c r="G21" s="11" t="s">
        <v>1097</v>
      </c>
      <c r="H21" s="11" t="s">
        <v>1110</v>
      </c>
      <c r="I21" s="12" t="s">
        <v>1102</v>
      </c>
      <c r="J21" s="12" t="s">
        <v>1090</v>
      </c>
    </row>
    <row r="22" customFormat="false" ht="15" hidden="false" customHeight="false" outlineLevel="0" collapsed="false">
      <c r="A22" s="16" t="n">
        <v>46148</v>
      </c>
      <c r="B22" s="11" t="s">
        <v>51</v>
      </c>
      <c r="C22" s="12" t="s">
        <v>22</v>
      </c>
      <c r="D22" s="11" t="s">
        <v>1086</v>
      </c>
      <c r="E22" s="11" t="s">
        <v>1103</v>
      </c>
      <c r="F22" s="20" t="n">
        <v>39</v>
      </c>
      <c r="G22" s="11" t="s">
        <v>1097</v>
      </c>
      <c r="H22" s="11" t="s">
        <v>1110</v>
      </c>
      <c r="I22" s="12" t="s">
        <v>1102</v>
      </c>
      <c r="J22" s="12" t="s">
        <v>1090</v>
      </c>
    </row>
    <row r="23" customFormat="false" ht="15" hidden="false" customHeight="false" outlineLevel="0" collapsed="false">
      <c r="A23" s="16" t="n">
        <v>46150</v>
      </c>
      <c r="B23" s="11" t="s">
        <v>56</v>
      </c>
      <c r="C23" s="12" t="s">
        <v>22</v>
      </c>
      <c r="D23" s="11" t="s">
        <v>1086</v>
      </c>
      <c r="E23" s="11" t="s">
        <v>1103</v>
      </c>
      <c r="F23" s="12"/>
      <c r="G23" s="11" t="s">
        <v>1097</v>
      </c>
      <c r="H23" s="11" t="s">
        <v>1110</v>
      </c>
      <c r="I23" s="12" t="s">
        <v>1102</v>
      </c>
      <c r="J23" s="12" t="s">
        <v>1090</v>
      </c>
    </row>
    <row r="24" customFormat="false" ht="15" hidden="false" customHeight="false" outlineLevel="0" collapsed="false">
      <c r="A24" s="16" t="n">
        <v>46150</v>
      </c>
      <c r="B24" s="11" t="s">
        <v>412</v>
      </c>
      <c r="C24" s="12" t="s">
        <v>24</v>
      </c>
      <c r="D24" s="11" t="s">
        <v>1091</v>
      </c>
      <c r="E24" s="11" t="s">
        <v>1096</v>
      </c>
      <c r="F24" s="12"/>
      <c r="G24" s="11" t="s">
        <v>1097</v>
      </c>
      <c r="H24" s="11" t="s">
        <v>1111</v>
      </c>
      <c r="I24" s="12"/>
      <c r="J24" s="12" t="s">
        <v>1090</v>
      </c>
    </row>
    <row r="25" customFormat="false" ht="15" hidden="false" customHeight="false" outlineLevel="0" collapsed="false">
      <c r="A25" s="16" t="n">
        <v>46153</v>
      </c>
      <c r="B25" s="11" t="s">
        <v>46</v>
      </c>
      <c r="C25" s="12" t="s">
        <v>22</v>
      </c>
      <c r="D25" s="11" t="s">
        <v>1091</v>
      </c>
      <c r="E25" s="11" t="s">
        <v>1103</v>
      </c>
      <c r="F25" s="20" t="n">
        <v>40</v>
      </c>
      <c r="G25" s="11" t="s">
        <v>1097</v>
      </c>
      <c r="H25" s="11" t="s">
        <v>1110</v>
      </c>
      <c r="I25" s="12"/>
      <c r="J25" s="12" t="s">
        <v>1090</v>
      </c>
    </row>
    <row r="26" customFormat="false" ht="15" hidden="false" customHeight="false" outlineLevel="0" collapsed="false">
      <c r="A26" s="16" t="n">
        <v>46158</v>
      </c>
      <c r="B26" s="13" t="s">
        <v>326</v>
      </c>
      <c r="C26" s="12" t="s">
        <v>23</v>
      </c>
      <c r="D26" s="11" t="s">
        <v>1091</v>
      </c>
      <c r="E26" s="11" t="s">
        <v>1112</v>
      </c>
      <c r="F26" s="12"/>
      <c r="G26" s="11" t="s">
        <v>1113</v>
      </c>
      <c r="H26" s="11" t="s">
        <v>1114</v>
      </c>
      <c r="I26" s="12" t="s">
        <v>1115</v>
      </c>
      <c r="J26" s="12" t="s">
        <v>1090</v>
      </c>
    </row>
    <row r="27" customFormat="false" ht="15" hidden="false" customHeight="false" outlineLevel="0" collapsed="false">
      <c r="A27" s="16" t="n">
        <v>46158</v>
      </c>
      <c r="B27" s="13" t="s">
        <v>323</v>
      </c>
      <c r="C27" s="12" t="s">
        <v>23</v>
      </c>
      <c r="D27" s="11" t="s">
        <v>1091</v>
      </c>
      <c r="E27" s="11" t="s">
        <v>1112</v>
      </c>
      <c r="F27" s="12"/>
      <c r="G27" s="11" t="s">
        <v>1113</v>
      </c>
      <c r="H27" s="11" t="s">
        <v>1114</v>
      </c>
      <c r="I27" s="12" t="s">
        <v>1115</v>
      </c>
      <c r="J27" s="12" t="s">
        <v>1090</v>
      </c>
    </row>
    <row r="28" customFormat="false" ht="15" hidden="false" customHeight="false" outlineLevel="0" collapsed="false">
      <c r="A28" s="16" t="n">
        <v>46158</v>
      </c>
      <c r="B28" s="13" t="s">
        <v>254</v>
      </c>
      <c r="C28" s="12" t="s">
        <v>23</v>
      </c>
      <c r="D28" s="11" t="s">
        <v>1091</v>
      </c>
      <c r="E28" s="11" t="s">
        <v>1112</v>
      </c>
      <c r="F28" s="12"/>
      <c r="G28" s="11" t="s">
        <v>1113</v>
      </c>
      <c r="H28" s="11" t="s">
        <v>1114</v>
      </c>
      <c r="I28" s="12" t="s">
        <v>1115</v>
      </c>
      <c r="J28" s="12" t="s">
        <v>1090</v>
      </c>
    </row>
    <row r="29" customFormat="false" ht="15" hidden="false" customHeight="false" outlineLevel="0" collapsed="false">
      <c r="A29" s="16" t="n">
        <v>46158</v>
      </c>
      <c r="B29" s="13" t="s">
        <v>276</v>
      </c>
      <c r="C29" s="12" t="s">
        <v>23</v>
      </c>
      <c r="D29" s="11" t="s">
        <v>1091</v>
      </c>
      <c r="E29" s="11" t="s">
        <v>1112</v>
      </c>
      <c r="F29" s="12"/>
      <c r="G29" s="11" t="s">
        <v>1113</v>
      </c>
      <c r="H29" s="11" t="s">
        <v>1114</v>
      </c>
      <c r="I29" s="12" t="s">
        <v>1115</v>
      </c>
      <c r="J29" s="12" t="s">
        <v>1090</v>
      </c>
    </row>
    <row r="30" customFormat="false" ht="15" hidden="false" customHeight="false" outlineLevel="0" collapsed="false">
      <c r="A30" s="16" t="n">
        <v>46158</v>
      </c>
      <c r="B30" s="13" t="s">
        <v>304</v>
      </c>
      <c r="C30" s="12" t="s">
        <v>23</v>
      </c>
      <c r="D30" s="11" t="s">
        <v>1091</v>
      </c>
      <c r="E30" s="11" t="s">
        <v>1112</v>
      </c>
      <c r="F30" s="12"/>
      <c r="G30" s="11" t="s">
        <v>1113</v>
      </c>
      <c r="H30" s="11" t="s">
        <v>1114</v>
      </c>
      <c r="I30" s="12" t="s">
        <v>1115</v>
      </c>
      <c r="J30" s="12" t="s">
        <v>1090</v>
      </c>
    </row>
    <row r="31" customFormat="false" ht="15" hidden="false" customHeight="false" outlineLevel="0" collapsed="false">
      <c r="A31" s="16" t="n">
        <v>46158</v>
      </c>
      <c r="B31" s="13" t="s">
        <v>299</v>
      </c>
      <c r="C31" s="12" t="s">
        <v>23</v>
      </c>
      <c r="D31" s="11" t="s">
        <v>1091</v>
      </c>
      <c r="E31" s="11" t="s">
        <v>1112</v>
      </c>
      <c r="F31" s="12"/>
      <c r="G31" s="11" t="s">
        <v>1113</v>
      </c>
      <c r="H31" s="11" t="s">
        <v>1114</v>
      </c>
      <c r="I31" s="12" t="s">
        <v>1115</v>
      </c>
      <c r="J31" s="12" t="s">
        <v>1090</v>
      </c>
    </row>
    <row r="32" customFormat="false" ht="15" hidden="false" customHeight="false" outlineLevel="0" collapsed="false">
      <c r="A32" s="16" t="n">
        <v>46158</v>
      </c>
      <c r="B32" s="13" t="s">
        <v>291</v>
      </c>
      <c r="C32" s="12" t="s">
        <v>23</v>
      </c>
      <c r="D32" s="11" t="s">
        <v>1091</v>
      </c>
      <c r="E32" s="11" t="s">
        <v>1112</v>
      </c>
      <c r="F32" s="12"/>
      <c r="G32" s="11" t="s">
        <v>1113</v>
      </c>
      <c r="H32" s="11" t="s">
        <v>1114</v>
      </c>
      <c r="I32" s="12" t="s">
        <v>1115</v>
      </c>
      <c r="J32" s="12" t="s">
        <v>1090</v>
      </c>
    </row>
    <row r="33" customFormat="false" ht="15" hidden="false" customHeight="false" outlineLevel="0" collapsed="false">
      <c r="A33" s="16" t="n">
        <v>46158</v>
      </c>
      <c r="B33" s="13" t="s">
        <v>358</v>
      </c>
      <c r="C33" s="12" t="s">
        <v>23</v>
      </c>
      <c r="D33" s="11" t="s">
        <v>1091</v>
      </c>
      <c r="E33" s="11" t="s">
        <v>1112</v>
      </c>
      <c r="F33" s="12"/>
      <c r="G33" s="11" t="s">
        <v>1113</v>
      </c>
      <c r="H33" s="11" t="s">
        <v>1114</v>
      </c>
      <c r="I33" s="12" t="s">
        <v>1115</v>
      </c>
      <c r="J33" s="12" t="s">
        <v>1090</v>
      </c>
    </row>
    <row r="34" customFormat="false" ht="15" hidden="false" customHeight="false" outlineLevel="0" collapsed="false">
      <c r="A34" s="16" t="n">
        <v>46158</v>
      </c>
      <c r="B34" s="13" t="s">
        <v>338</v>
      </c>
      <c r="C34" s="12" t="s">
        <v>23</v>
      </c>
      <c r="D34" s="11" t="s">
        <v>1091</v>
      </c>
      <c r="E34" s="11" t="s">
        <v>1112</v>
      </c>
      <c r="F34" s="12"/>
      <c r="G34" s="11" t="s">
        <v>1113</v>
      </c>
      <c r="H34" s="11" t="s">
        <v>1114</v>
      </c>
      <c r="I34" s="12" t="s">
        <v>1115</v>
      </c>
      <c r="J34" s="12" t="s">
        <v>1090</v>
      </c>
    </row>
    <row r="35" customFormat="false" ht="15" hidden="false" customHeight="false" outlineLevel="0" collapsed="false">
      <c r="A35" s="16" t="n">
        <v>46158</v>
      </c>
      <c r="B35" s="13" t="s">
        <v>351</v>
      </c>
      <c r="C35" s="12" t="s">
        <v>23</v>
      </c>
      <c r="D35" s="11" t="s">
        <v>1091</v>
      </c>
      <c r="E35" s="11" t="s">
        <v>1112</v>
      </c>
      <c r="F35" s="12"/>
      <c r="G35" s="11" t="s">
        <v>1113</v>
      </c>
      <c r="H35" s="11" t="s">
        <v>1114</v>
      </c>
      <c r="I35" s="12" t="s">
        <v>1115</v>
      </c>
      <c r="J35" s="12" t="s">
        <v>1090</v>
      </c>
    </row>
    <row r="36" customFormat="false" ht="15" hidden="false" customHeight="false" outlineLevel="0" collapsed="false">
      <c r="A36" s="16" t="n">
        <v>46158</v>
      </c>
      <c r="B36" s="13" t="s">
        <v>287</v>
      </c>
      <c r="C36" s="12" t="s">
        <v>23</v>
      </c>
      <c r="D36" s="11" t="s">
        <v>1091</v>
      </c>
      <c r="E36" s="11" t="s">
        <v>1112</v>
      </c>
      <c r="F36" s="12"/>
      <c r="G36" s="11" t="s">
        <v>1113</v>
      </c>
      <c r="H36" s="11" t="s">
        <v>1114</v>
      </c>
      <c r="I36" s="12" t="s">
        <v>1115</v>
      </c>
      <c r="J36" s="12" t="s">
        <v>1090</v>
      </c>
    </row>
    <row r="37" customFormat="false" ht="15" hidden="false" customHeight="false" outlineLevel="0" collapsed="false">
      <c r="A37" s="16" t="n">
        <v>46158</v>
      </c>
      <c r="B37" s="13" t="s">
        <v>347</v>
      </c>
      <c r="C37" s="12" t="s">
        <v>23</v>
      </c>
      <c r="D37" s="11" t="s">
        <v>1091</v>
      </c>
      <c r="E37" s="11" t="s">
        <v>1112</v>
      </c>
      <c r="F37" s="12"/>
      <c r="G37" s="11" t="s">
        <v>1113</v>
      </c>
      <c r="H37" s="11" t="s">
        <v>1114</v>
      </c>
      <c r="I37" s="12" t="s">
        <v>1115</v>
      </c>
      <c r="J37" s="12" t="s">
        <v>1090</v>
      </c>
    </row>
    <row r="38" customFormat="false" ht="15" hidden="false" customHeight="false" outlineLevel="0" collapsed="false">
      <c r="A38" s="16" t="n">
        <v>46158</v>
      </c>
      <c r="B38" s="13" t="s">
        <v>374</v>
      </c>
      <c r="C38" s="12" t="s">
        <v>23</v>
      </c>
      <c r="D38" s="11" t="s">
        <v>1091</v>
      </c>
      <c r="E38" s="11" t="s">
        <v>1112</v>
      </c>
      <c r="F38" s="12"/>
      <c r="G38" s="11" t="s">
        <v>1113</v>
      </c>
      <c r="H38" s="11" t="s">
        <v>1114</v>
      </c>
      <c r="I38" s="12" t="s">
        <v>1115</v>
      </c>
      <c r="J38" s="12" t="s">
        <v>1090</v>
      </c>
    </row>
    <row r="39" customFormat="false" ht="15" hidden="false" customHeight="false" outlineLevel="0" collapsed="false">
      <c r="A39" s="16" t="n">
        <v>46158</v>
      </c>
      <c r="B39" s="13" t="s">
        <v>296</v>
      </c>
      <c r="C39" s="12" t="s">
        <v>23</v>
      </c>
      <c r="D39" s="11" t="s">
        <v>1091</v>
      </c>
      <c r="E39" s="11" t="s">
        <v>1112</v>
      </c>
      <c r="F39" s="12"/>
      <c r="G39" s="11" t="s">
        <v>1113</v>
      </c>
      <c r="H39" s="11" t="s">
        <v>1114</v>
      </c>
      <c r="I39" s="12" t="s">
        <v>1115</v>
      </c>
      <c r="J39" s="12" t="s">
        <v>1090</v>
      </c>
    </row>
    <row r="40" customFormat="false" ht="15" hidden="false" customHeight="false" outlineLevel="0" collapsed="false">
      <c r="A40" s="16" t="n">
        <v>46158</v>
      </c>
      <c r="B40" s="13" t="s">
        <v>336</v>
      </c>
      <c r="C40" s="12" t="s">
        <v>23</v>
      </c>
      <c r="D40" s="11" t="s">
        <v>1091</v>
      </c>
      <c r="E40" s="11" t="s">
        <v>1112</v>
      </c>
      <c r="F40" s="12"/>
      <c r="G40" s="11" t="s">
        <v>1113</v>
      </c>
      <c r="H40" s="11" t="s">
        <v>1114</v>
      </c>
      <c r="I40" s="12" t="s">
        <v>1115</v>
      </c>
      <c r="J40" s="12" t="s">
        <v>1090</v>
      </c>
    </row>
    <row r="41" customFormat="false" ht="15" hidden="false" customHeight="false" outlineLevel="0" collapsed="false">
      <c r="A41" s="16" t="n">
        <v>46158</v>
      </c>
      <c r="B41" s="13" t="s">
        <v>259</v>
      </c>
      <c r="C41" s="12" t="s">
        <v>23</v>
      </c>
      <c r="D41" s="11" t="s">
        <v>1091</v>
      </c>
      <c r="E41" s="11" t="s">
        <v>1112</v>
      </c>
      <c r="F41" s="12"/>
      <c r="G41" s="11" t="s">
        <v>1113</v>
      </c>
      <c r="H41" s="11" t="s">
        <v>1114</v>
      </c>
      <c r="I41" s="12" t="s">
        <v>1115</v>
      </c>
      <c r="J41" s="12" t="s">
        <v>1090</v>
      </c>
    </row>
    <row r="42" customFormat="false" ht="15" hidden="false" customHeight="false" outlineLevel="0" collapsed="false">
      <c r="A42" s="16" t="n">
        <v>46158</v>
      </c>
      <c r="B42" s="13" t="s">
        <v>272</v>
      </c>
      <c r="C42" s="12" t="s">
        <v>23</v>
      </c>
      <c r="D42" s="11" t="s">
        <v>1091</v>
      </c>
      <c r="E42" s="11" t="s">
        <v>1112</v>
      </c>
      <c r="F42" s="12"/>
      <c r="G42" s="11" t="s">
        <v>1113</v>
      </c>
      <c r="H42" s="11" t="s">
        <v>1114</v>
      </c>
      <c r="I42" s="12" t="s">
        <v>1115</v>
      </c>
      <c r="J42" s="12" t="s">
        <v>1090</v>
      </c>
    </row>
    <row r="43" customFormat="false" ht="15" hidden="false" customHeight="false" outlineLevel="0" collapsed="false">
      <c r="A43" s="16" t="n">
        <v>46158</v>
      </c>
      <c r="B43" s="11" t="s">
        <v>243</v>
      </c>
      <c r="C43" s="12" t="s">
        <v>23</v>
      </c>
      <c r="D43" s="11" t="s">
        <v>1091</v>
      </c>
      <c r="E43" s="11" t="s">
        <v>1112</v>
      </c>
      <c r="F43" s="12"/>
      <c r="G43" s="11" t="s">
        <v>1113</v>
      </c>
      <c r="H43" s="11" t="s">
        <v>1114</v>
      </c>
      <c r="I43" s="12" t="s">
        <v>1115</v>
      </c>
      <c r="J43" s="12" t="s">
        <v>1090</v>
      </c>
    </row>
    <row r="44" customFormat="false" ht="15" hidden="false" customHeight="false" outlineLevel="0" collapsed="false">
      <c r="A44" s="16" t="n">
        <v>46158</v>
      </c>
      <c r="B44" s="13" t="s">
        <v>284</v>
      </c>
      <c r="C44" s="12" t="s">
        <v>23</v>
      </c>
      <c r="D44" s="11" t="s">
        <v>1091</v>
      </c>
      <c r="E44" s="11" t="s">
        <v>1112</v>
      </c>
      <c r="F44" s="12"/>
      <c r="G44" s="11" t="s">
        <v>1113</v>
      </c>
      <c r="H44" s="11" t="s">
        <v>1114</v>
      </c>
      <c r="I44" s="12" t="s">
        <v>1115</v>
      </c>
      <c r="J44" s="12" t="s">
        <v>1090</v>
      </c>
    </row>
    <row r="45" customFormat="false" ht="15" hidden="false" customHeight="false" outlineLevel="0" collapsed="false">
      <c r="A45" s="16" t="n">
        <v>46158</v>
      </c>
      <c r="B45" s="13" t="s">
        <v>313</v>
      </c>
      <c r="C45" s="12" t="s">
        <v>23</v>
      </c>
      <c r="D45" s="11" t="s">
        <v>1091</v>
      </c>
      <c r="E45" s="11" t="s">
        <v>1112</v>
      </c>
      <c r="F45" s="12"/>
      <c r="G45" s="11" t="s">
        <v>1113</v>
      </c>
      <c r="H45" s="11" t="s">
        <v>1114</v>
      </c>
      <c r="I45" s="12" t="s">
        <v>1115</v>
      </c>
      <c r="J45" s="12" t="s">
        <v>1090</v>
      </c>
    </row>
    <row r="46" customFormat="false" ht="15" hidden="false" customHeight="false" outlineLevel="0" collapsed="false">
      <c r="A46" s="16" t="n">
        <v>46158</v>
      </c>
      <c r="B46" s="13" t="s">
        <v>349</v>
      </c>
      <c r="C46" s="12" t="s">
        <v>23</v>
      </c>
      <c r="D46" s="11" t="s">
        <v>1091</v>
      </c>
      <c r="E46" s="11" t="s">
        <v>1112</v>
      </c>
      <c r="F46" s="12"/>
      <c r="G46" s="11" t="s">
        <v>1113</v>
      </c>
      <c r="H46" s="11" t="s">
        <v>1114</v>
      </c>
      <c r="I46" s="12" t="s">
        <v>1115</v>
      </c>
      <c r="J46" s="12" t="s">
        <v>1090</v>
      </c>
    </row>
    <row r="47" customFormat="false" ht="15" hidden="false" customHeight="false" outlineLevel="0" collapsed="false">
      <c r="A47" s="16" t="n">
        <v>46158</v>
      </c>
      <c r="B47" s="13" t="s">
        <v>266</v>
      </c>
      <c r="C47" s="12" t="s">
        <v>23</v>
      </c>
      <c r="D47" s="11" t="s">
        <v>1091</v>
      </c>
      <c r="E47" s="11" t="s">
        <v>1112</v>
      </c>
      <c r="F47" s="12"/>
      <c r="G47" s="11" t="s">
        <v>1113</v>
      </c>
      <c r="H47" s="11" t="s">
        <v>1114</v>
      </c>
      <c r="I47" s="12" t="s">
        <v>1115</v>
      </c>
      <c r="J47" s="12" t="s">
        <v>1090</v>
      </c>
    </row>
    <row r="48" customFormat="false" ht="15" hidden="false" customHeight="false" outlineLevel="0" collapsed="false">
      <c r="A48" s="16" t="n">
        <v>46158</v>
      </c>
      <c r="B48" s="13" t="s">
        <v>319</v>
      </c>
      <c r="C48" s="12" t="s">
        <v>23</v>
      </c>
      <c r="D48" s="11" t="s">
        <v>1091</v>
      </c>
      <c r="E48" s="11" t="s">
        <v>1112</v>
      </c>
      <c r="F48" s="12"/>
      <c r="G48" s="11" t="s">
        <v>1113</v>
      </c>
      <c r="H48" s="11" t="s">
        <v>1114</v>
      </c>
      <c r="I48" s="12" t="s">
        <v>1115</v>
      </c>
      <c r="J48" s="12" t="s">
        <v>1090</v>
      </c>
    </row>
    <row r="49" customFormat="false" ht="15" hidden="false" customHeight="false" outlineLevel="0" collapsed="false">
      <c r="A49" s="16" t="n">
        <v>46158</v>
      </c>
      <c r="B49" s="13" t="s">
        <v>334</v>
      </c>
      <c r="C49" s="12" t="s">
        <v>23</v>
      </c>
      <c r="D49" s="11" t="s">
        <v>1091</v>
      </c>
      <c r="E49" s="11" t="s">
        <v>1112</v>
      </c>
      <c r="F49" s="12"/>
      <c r="G49" s="11" t="s">
        <v>1113</v>
      </c>
      <c r="H49" s="11" t="s">
        <v>1114</v>
      </c>
      <c r="I49" s="12" t="s">
        <v>1115</v>
      </c>
      <c r="J49" s="12" t="s">
        <v>1090</v>
      </c>
    </row>
    <row r="50" customFormat="false" ht="15" hidden="false" customHeight="false" outlineLevel="0" collapsed="false">
      <c r="A50" s="16" t="n">
        <v>46158</v>
      </c>
      <c r="B50" s="13" t="s">
        <v>306</v>
      </c>
      <c r="C50" s="12" t="s">
        <v>23</v>
      </c>
      <c r="D50" s="11" t="s">
        <v>1091</v>
      </c>
      <c r="E50" s="11" t="s">
        <v>1112</v>
      </c>
      <c r="F50" s="12"/>
      <c r="G50" s="11" t="s">
        <v>1113</v>
      </c>
      <c r="H50" s="11" t="s">
        <v>1114</v>
      </c>
      <c r="I50" s="12" t="s">
        <v>1115</v>
      </c>
      <c r="J50" s="12" t="s">
        <v>1090</v>
      </c>
    </row>
    <row r="51" customFormat="false" ht="15" hidden="false" customHeight="false" outlineLevel="0" collapsed="false">
      <c r="A51" s="16" t="n">
        <v>46160</v>
      </c>
      <c r="B51" s="13" t="s">
        <v>326</v>
      </c>
      <c r="C51" s="12" t="s">
        <v>23</v>
      </c>
      <c r="D51" s="11" t="s">
        <v>1086</v>
      </c>
      <c r="E51" s="11" t="s">
        <v>1112</v>
      </c>
      <c r="F51" s="12"/>
      <c r="G51" s="11" t="s">
        <v>1113</v>
      </c>
      <c r="H51" s="11" t="s">
        <v>1114</v>
      </c>
      <c r="I51" s="12" t="s">
        <v>1116</v>
      </c>
      <c r="J51" s="12" t="s">
        <v>1090</v>
      </c>
    </row>
    <row r="52" customFormat="false" ht="15" hidden="false" customHeight="false" outlineLevel="0" collapsed="false">
      <c r="A52" s="16" t="n">
        <v>46160</v>
      </c>
      <c r="B52" s="13" t="s">
        <v>323</v>
      </c>
      <c r="C52" s="12" t="s">
        <v>23</v>
      </c>
      <c r="D52" s="11" t="s">
        <v>1086</v>
      </c>
      <c r="E52" s="11" t="s">
        <v>1112</v>
      </c>
      <c r="F52" s="12"/>
      <c r="G52" s="11" t="s">
        <v>1113</v>
      </c>
      <c r="H52" s="11" t="s">
        <v>1114</v>
      </c>
      <c r="I52" s="12" t="s">
        <v>1116</v>
      </c>
      <c r="J52" s="12" t="s">
        <v>1090</v>
      </c>
    </row>
    <row r="53" customFormat="false" ht="15" hidden="false" customHeight="false" outlineLevel="0" collapsed="false">
      <c r="A53" s="16" t="n">
        <v>46160</v>
      </c>
      <c r="B53" s="13" t="s">
        <v>254</v>
      </c>
      <c r="C53" s="12" t="s">
        <v>23</v>
      </c>
      <c r="D53" s="11" t="s">
        <v>1086</v>
      </c>
      <c r="E53" s="11" t="s">
        <v>1112</v>
      </c>
      <c r="F53" s="12"/>
      <c r="G53" s="11" t="s">
        <v>1113</v>
      </c>
      <c r="H53" s="11" t="s">
        <v>1114</v>
      </c>
      <c r="I53" s="12" t="s">
        <v>1116</v>
      </c>
      <c r="J53" s="12" t="s">
        <v>1090</v>
      </c>
    </row>
    <row r="54" customFormat="false" ht="15" hidden="false" customHeight="false" outlineLevel="0" collapsed="false">
      <c r="A54" s="16" t="n">
        <v>46160</v>
      </c>
      <c r="B54" s="13" t="s">
        <v>276</v>
      </c>
      <c r="C54" s="12" t="s">
        <v>23</v>
      </c>
      <c r="D54" s="11" t="s">
        <v>1086</v>
      </c>
      <c r="E54" s="11" t="s">
        <v>1112</v>
      </c>
      <c r="F54" s="12"/>
      <c r="G54" s="11" t="s">
        <v>1113</v>
      </c>
      <c r="H54" s="11" t="s">
        <v>1114</v>
      </c>
      <c r="I54" s="12" t="s">
        <v>1116</v>
      </c>
      <c r="J54" s="12" t="s">
        <v>1090</v>
      </c>
    </row>
    <row r="55" customFormat="false" ht="15" hidden="false" customHeight="false" outlineLevel="0" collapsed="false">
      <c r="A55" s="16" t="n">
        <v>46160</v>
      </c>
      <c r="B55" s="13" t="s">
        <v>304</v>
      </c>
      <c r="C55" s="12" t="s">
        <v>23</v>
      </c>
      <c r="D55" s="11" t="s">
        <v>1086</v>
      </c>
      <c r="E55" s="11" t="s">
        <v>1112</v>
      </c>
      <c r="F55" s="12"/>
      <c r="G55" s="11" t="s">
        <v>1113</v>
      </c>
      <c r="H55" s="11" t="s">
        <v>1114</v>
      </c>
      <c r="I55" s="12" t="s">
        <v>1116</v>
      </c>
      <c r="J55" s="12" t="s">
        <v>1090</v>
      </c>
    </row>
    <row r="56" customFormat="false" ht="15" hidden="false" customHeight="false" outlineLevel="0" collapsed="false">
      <c r="A56" s="16" t="n">
        <v>46160</v>
      </c>
      <c r="B56" s="13" t="s">
        <v>299</v>
      </c>
      <c r="C56" s="12" t="s">
        <v>23</v>
      </c>
      <c r="D56" s="11" t="s">
        <v>1086</v>
      </c>
      <c r="E56" s="11" t="s">
        <v>1112</v>
      </c>
      <c r="F56" s="12"/>
      <c r="G56" s="11" t="s">
        <v>1113</v>
      </c>
      <c r="H56" s="11" t="s">
        <v>1114</v>
      </c>
      <c r="I56" s="12" t="s">
        <v>1116</v>
      </c>
      <c r="J56" s="12" t="s">
        <v>1090</v>
      </c>
    </row>
    <row r="57" customFormat="false" ht="15" hidden="false" customHeight="false" outlineLevel="0" collapsed="false">
      <c r="A57" s="16" t="n">
        <v>46160</v>
      </c>
      <c r="B57" s="13" t="s">
        <v>291</v>
      </c>
      <c r="C57" s="12" t="s">
        <v>23</v>
      </c>
      <c r="D57" s="11" t="s">
        <v>1086</v>
      </c>
      <c r="E57" s="11" t="s">
        <v>1112</v>
      </c>
      <c r="F57" s="12"/>
      <c r="G57" s="11" t="s">
        <v>1113</v>
      </c>
      <c r="H57" s="11" t="s">
        <v>1114</v>
      </c>
      <c r="I57" s="12" t="s">
        <v>1116</v>
      </c>
      <c r="J57" s="12" t="s">
        <v>1090</v>
      </c>
    </row>
    <row r="58" customFormat="false" ht="15" hidden="false" customHeight="false" outlineLevel="0" collapsed="false">
      <c r="A58" s="16" t="n">
        <v>46160</v>
      </c>
      <c r="B58" s="13" t="s">
        <v>358</v>
      </c>
      <c r="C58" s="12" t="s">
        <v>23</v>
      </c>
      <c r="D58" s="11" t="s">
        <v>1086</v>
      </c>
      <c r="E58" s="11" t="s">
        <v>1112</v>
      </c>
      <c r="F58" s="12"/>
      <c r="G58" s="11" t="s">
        <v>1113</v>
      </c>
      <c r="H58" s="11" t="s">
        <v>1114</v>
      </c>
      <c r="I58" s="12" t="s">
        <v>1116</v>
      </c>
      <c r="J58" s="12" t="s">
        <v>1090</v>
      </c>
    </row>
    <row r="59" customFormat="false" ht="15" hidden="false" customHeight="false" outlineLevel="0" collapsed="false">
      <c r="A59" s="16" t="n">
        <v>46160</v>
      </c>
      <c r="B59" s="13" t="s">
        <v>338</v>
      </c>
      <c r="C59" s="12" t="s">
        <v>23</v>
      </c>
      <c r="D59" s="11" t="s">
        <v>1086</v>
      </c>
      <c r="E59" s="11" t="s">
        <v>1112</v>
      </c>
      <c r="F59" s="12"/>
      <c r="G59" s="11" t="s">
        <v>1113</v>
      </c>
      <c r="H59" s="11" t="s">
        <v>1114</v>
      </c>
      <c r="I59" s="12" t="s">
        <v>1116</v>
      </c>
      <c r="J59" s="12" t="s">
        <v>1090</v>
      </c>
    </row>
    <row r="60" customFormat="false" ht="15" hidden="false" customHeight="false" outlineLevel="0" collapsed="false">
      <c r="A60" s="16" t="n">
        <v>46160</v>
      </c>
      <c r="B60" s="13" t="s">
        <v>351</v>
      </c>
      <c r="C60" s="12" t="s">
        <v>23</v>
      </c>
      <c r="D60" s="11" t="s">
        <v>1086</v>
      </c>
      <c r="E60" s="11" t="s">
        <v>1112</v>
      </c>
      <c r="F60" s="12"/>
      <c r="G60" s="11" t="s">
        <v>1113</v>
      </c>
      <c r="H60" s="11" t="s">
        <v>1114</v>
      </c>
      <c r="I60" s="12" t="s">
        <v>1116</v>
      </c>
      <c r="J60" s="12" t="s">
        <v>1090</v>
      </c>
    </row>
    <row r="61" customFormat="false" ht="15" hidden="false" customHeight="false" outlineLevel="0" collapsed="false">
      <c r="A61" s="16" t="n">
        <v>46160</v>
      </c>
      <c r="B61" s="13" t="s">
        <v>287</v>
      </c>
      <c r="C61" s="12" t="s">
        <v>23</v>
      </c>
      <c r="D61" s="11" t="s">
        <v>1086</v>
      </c>
      <c r="E61" s="11" t="s">
        <v>1112</v>
      </c>
      <c r="F61" s="12"/>
      <c r="G61" s="11" t="s">
        <v>1113</v>
      </c>
      <c r="H61" s="11" t="s">
        <v>1114</v>
      </c>
      <c r="I61" s="12" t="s">
        <v>1116</v>
      </c>
      <c r="J61" s="12" t="s">
        <v>1090</v>
      </c>
    </row>
    <row r="62" customFormat="false" ht="15" hidden="false" customHeight="false" outlineLevel="0" collapsed="false">
      <c r="A62" s="16" t="n">
        <v>46160</v>
      </c>
      <c r="B62" s="13" t="s">
        <v>347</v>
      </c>
      <c r="C62" s="12" t="s">
        <v>23</v>
      </c>
      <c r="D62" s="11" t="s">
        <v>1086</v>
      </c>
      <c r="E62" s="11" t="s">
        <v>1112</v>
      </c>
      <c r="F62" s="12"/>
      <c r="G62" s="11" t="s">
        <v>1113</v>
      </c>
      <c r="H62" s="11" t="s">
        <v>1114</v>
      </c>
      <c r="I62" s="12" t="s">
        <v>1116</v>
      </c>
      <c r="J62" s="12" t="s">
        <v>1090</v>
      </c>
    </row>
    <row r="63" customFormat="false" ht="15" hidden="false" customHeight="false" outlineLevel="0" collapsed="false">
      <c r="A63" s="16" t="n">
        <v>46160</v>
      </c>
      <c r="B63" s="13" t="s">
        <v>374</v>
      </c>
      <c r="C63" s="12" t="s">
        <v>23</v>
      </c>
      <c r="D63" s="11" t="s">
        <v>1086</v>
      </c>
      <c r="E63" s="11" t="s">
        <v>1112</v>
      </c>
      <c r="F63" s="12"/>
      <c r="G63" s="11" t="s">
        <v>1113</v>
      </c>
      <c r="H63" s="11" t="s">
        <v>1114</v>
      </c>
      <c r="I63" s="12" t="s">
        <v>1116</v>
      </c>
      <c r="J63" s="12" t="s">
        <v>1090</v>
      </c>
    </row>
    <row r="64" customFormat="false" ht="15" hidden="false" customHeight="false" outlineLevel="0" collapsed="false">
      <c r="A64" s="16" t="n">
        <v>46160</v>
      </c>
      <c r="B64" s="13" t="s">
        <v>296</v>
      </c>
      <c r="C64" s="12" t="s">
        <v>23</v>
      </c>
      <c r="D64" s="11" t="s">
        <v>1086</v>
      </c>
      <c r="E64" s="11" t="s">
        <v>1112</v>
      </c>
      <c r="F64" s="12"/>
      <c r="G64" s="11" t="s">
        <v>1113</v>
      </c>
      <c r="H64" s="11" t="s">
        <v>1114</v>
      </c>
      <c r="I64" s="12" t="s">
        <v>1116</v>
      </c>
      <c r="J64" s="12" t="s">
        <v>1090</v>
      </c>
    </row>
    <row r="65" customFormat="false" ht="15" hidden="false" customHeight="false" outlineLevel="0" collapsed="false">
      <c r="A65" s="16" t="n">
        <v>46160</v>
      </c>
      <c r="B65" s="13" t="s">
        <v>336</v>
      </c>
      <c r="C65" s="12" t="s">
        <v>23</v>
      </c>
      <c r="D65" s="11" t="s">
        <v>1086</v>
      </c>
      <c r="E65" s="11" t="s">
        <v>1112</v>
      </c>
      <c r="F65" s="12"/>
      <c r="G65" s="11" t="s">
        <v>1113</v>
      </c>
      <c r="H65" s="11" t="s">
        <v>1114</v>
      </c>
      <c r="I65" s="12" t="s">
        <v>1116</v>
      </c>
      <c r="J65" s="12" t="s">
        <v>1090</v>
      </c>
    </row>
    <row r="66" customFormat="false" ht="15" hidden="false" customHeight="false" outlineLevel="0" collapsed="false">
      <c r="A66" s="16" t="n">
        <v>46160</v>
      </c>
      <c r="B66" s="13" t="s">
        <v>259</v>
      </c>
      <c r="C66" s="12" t="s">
        <v>23</v>
      </c>
      <c r="D66" s="11" t="s">
        <v>1086</v>
      </c>
      <c r="E66" s="11" t="s">
        <v>1112</v>
      </c>
      <c r="F66" s="12"/>
      <c r="G66" s="11" t="s">
        <v>1113</v>
      </c>
      <c r="H66" s="11" t="s">
        <v>1114</v>
      </c>
      <c r="I66" s="12" t="s">
        <v>1116</v>
      </c>
      <c r="J66" s="12" t="s">
        <v>1090</v>
      </c>
    </row>
    <row r="67" customFormat="false" ht="15" hidden="false" customHeight="false" outlineLevel="0" collapsed="false">
      <c r="A67" s="16" t="n">
        <v>46160</v>
      </c>
      <c r="B67" s="13" t="s">
        <v>272</v>
      </c>
      <c r="C67" s="12" t="s">
        <v>23</v>
      </c>
      <c r="D67" s="11" t="s">
        <v>1086</v>
      </c>
      <c r="E67" s="11" t="s">
        <v>1112</v>
      </c>
      <c r="F67" s="12"/>
      <c r="G67" s="11" t="s">
        <v>1113</v>
      </c>
      <c r="H67" s="11" t="s">
        <v>1114</v>
      </c>
      <c r="I67" s="12" t="s">
        <v>1116</v>
      </c>
      <c r="J67" s="12" t="s">
        <v>1090</v>
      </c>
    </row>
    <row r="68" customFormat="false" ht="15" hidden="false" customHeight="false" outlineLevel="0" collapsed="false">
      <c r="A68" s="16" t="n">
        <v>46160</v>
      </c>
      <c r="B68" s="11" t="s">
        <v>243</v>
      </c>
      <c r="C68" s="12" t="s">
        <v>23</v>
      </c>
      <c r="D68" s="11" t="s">
        <v>1086</v>
      </c>
      <c r="E68" s="11" t="s">
        <v>1112</v>
      </c>
      <c r="F68" s="12"/>
      <c r="G68" s="11" t="s">
        <v>1113</v>
      </c>
      <c r="H68" s="11" t="s">
        <v>1114</v>
      </c>
      <c r="I68" s="12" t="s">
        <v>1116</v>
      </c>
      <c r="J68" s="12" t="s">
        <v>1090</v>
      </c>
    </row>
    <row r="69" customFormat="false" ht="15" hidden="false" customHeight="false" outlineLevel="0" collapsed="false">
      <c r="A69" s="16" t="n">
        <v>46160</v>
      </c>
      <c r="B69" s="13" t="s">
        <v>284</v>
      </c>
      <c r="C69" s="12" t="s">
        <v>23</v>
      </c>
      <c r="D69" s="11" t="s">
        <v>1086</v>
      </c>
      <c r="E69" s="11" t="s">
        <v>1112</v>
      </c>
      <c r="F69" s="12"/>
      <c r="G69" s="11" t="s">
        <v>1113</v>
      </c>
      <c r="H69" s="11" t="s">
        <v>1114</v>
      </c>
      <c r="I69" s="12" t="s">
        <v>1116</v>
      </c>
      <c r="J69" s="12" t="s">
        <v>1090</v>
      </c>
    </row>
    <row r="70" customFormat="false" ht="15" hidden="false" customHeight="false" outlineLevel="0" collapsed="false">
      <c r="A70" s="16" t="n">
        <v>46160</v>
      </c>
      <c r="B70" s="13" t="s">
        <v>313</v>
      </c>
      <c r="C70" s="12" t="s">
        <v>23</v>
      </c>
      <c r="D70" s="11" t="s">
        <v>1086</v>
      </c>
      <c r="E70" s="11" t="s">
        <v>1112</v>
      </c>
      <c r="F70" s="12"/>
      <c r="G70" s="11" t="s">
        <v>1113</v>
      </c>
      <c r="H70" s="11" t="s">
        <v>1114</v>
      </c>
      <c r="I70" s="12" t="s">
        <v>1116</v>
      </c>
      <c r="J70" s="12" t="s">
        <v>1090</v>
      </c>
    </row>
    <row r="71" customFormat="false" ht="15" hidden="false" customHeight="false" outlineLevel="0" collapsed="false">
      <c r="A71" s="16" t="n">
        <v>46160</v>
      </c>
      <c r="B71" s="13" t="s">
        <v>349</v>
      </c>
      <c r="C71" s="12" t="s">
        <v>23</v>
      </c>
      <c r="D71" s="11" t="s">
        <v>1086</v>
      </c>
      <c r="E71" s="11" t="s">
        <v>1112</v>
      </c>
      <c r="F71" s="12"/>
      <c r="G71" s="11" t="s">
        <v>1113</v>
      </c>
      <c r="H71" s="11" t="s">
        <v>1114</v>
      </c>
      <c r="I71" s="12" t="s">
        <v>1116</v>
      </c>
      <c r="J71" s="12" t="s">
        <v>1090</v>
      </c>
    </row>
    <row r="72" customFormat="false" ht="15" hidden="false" customHeight="false" outlineLevel="0" collapsed="false">
      <c r="A72" s="16" t="n">
        <v>46160</v>
      </c>
      <c r="B72" s="13" t="s">
        <v>266</v>
      </c>
      <c r="C72" s="12" t="s">
        <v>23</v>
      </c>
      <c r="D72" s="11" t="s">
        <v>1086</v>
      </c>
      <c r="E72" s="11" t="s">
        <v>1112</v>
      </c>
      <c r="F72" s="12"/>
      <c r="G72" s="11" t="s">
        <v>1113</v>
      </c>
      <c r="H72" s="11" t="s">
        <v>1114</v>
      </c>
      <c r="I72" s="12" t="s">
        <v>1116</v>
      </c>
      <c r="J72" s="12" t="s">
        <v>1090</v>
      </c>
    </row>
    <row r="73" customFormat="false" ht="15" hidden="false" customHeight="false" outlineLevel="0" collapsed="false">
      <c r="A73" s="16" t="n">
        <v>46160</v>
      </c>
      <c r="B73" s="13" t="s">
        <v>319</v>
      </c>
      <c r="C73" s="12" t="s">
        <v>23</v>
      </c>
      <c r="D73" s="11" t="s">
        <v>1086</v>
      </c>
      <c r="E73" s="11" t="s">
        <v>1112</v>
      </c>
      <c r="F73" s="12"/>
      <c r="G73" s="11" t="s">
        <v>1113</v>
      </c>
      <c r="H73" s="11" t="s">
        <v>1114</v>
      </c>
      <c r="I73" s="12" t="s">
        <v>1116</v>
      </c>
      <c r="J73" s="12" t="s">
        <v>1090</v>
      </c>
    </row>
    <row r="74" customFormat="false" ht="15" hidden="false" customHeight="false" outlineLevel="0" collapsed="false">
      <c r="A74" s="16" t="n">
        <v>46160</v>
      </c>
      <c r="B74" s="13" t="s">
        <v>334</v>
      </c>
      <c r="C74" s="12" t="s">
        <v>23</v>
      </c>
      <c r="D74" s="11" t="s">
        <v>1086</v>
      </c>
      <c r="E74" s="11" t="s">
        <v>1112</v>
      </c>
      <c r="F74" s="12"/>
      <c r="G74" s="11" t="s">
        <v>1113</v>
      </c>
      <c r="H74" s="11" t="s">
        <v>1114</v>
      </c>
      <c r="I74" s="12" t="s">
        <v>1116</v>
      </c>
      <c r="J74" s="12" t="s">
        <v>1090</v>
      </c>
    </row>
    <row r="75" customFormat="false" ht="15" hidden="false" customHeight="false" outlineLevel="0" collapsed="false">
      <c r="A75" s="16" t="n">
        <v>46160</v>
      </c>
      <c r="B75" s="13" t="s">
        <v>306</v>
      </c>
      <c r="C75" s="12" t="s">
        <v>23</v>
      </c>
      <c r="D75" s="11" t="s">
        <v>1086</v>
      </c>
      <c r="E75" s="11" t="s">
        <v>1112</v>
      </c>
      <c r="F75" s="12"/>
      <c r="G75" s="11" t="s">
        <v>1113</v>
      </c>
      <c r="H75" s="11" t="s">
        <v>1114</v>
      </c>
      <c r="I75" s="12" t="s">
        <v>1116</v>
      </c>
      <c r="J75" s="12" t="s">
        <v>1090</v>
      </c>
    </row>
    <row r="76" customFormat="false" ht="15" hidden="false" customHeight="false" outlineLevel="0" collapsed="false">
      <c r="A76" s="16" t="n">
        <v>46160</v>
      </c>
      <c r="B76" s="13" t="s">
        <v>324</v>
      </c>
      <c r="C76" s="12" t="s">
        <v>23</v>
      </c>
      <c r="D76" s="11" t="s">
        <v>1091</v>
      </c>
      <c r="E76" s="11" t="s">
        <v>1117</v>
      </c>
      <c r="F76" s="12"/>
      <c r="G76" s="11" t="s">
        <v>1118</v>
      </c>
      <c r="H76" s="11" t="s">
        <v>1119</v>
      </c>
      <c r="I76" s="12" t="s">
        <v>1120</v>
      </c>
      <c r="J76" s="12" t="s">
        <v>1090</v>
      </c>
    </row>
    <row r="77" customFormat="false" ht="15" hidden="false" customHeight="false" outlineLevel="0" collapsed="false">
      <c r="A77" s="16" t="n">
        <v>46160</v>
      </c>
      <c r="B77" s="13" t="s">
        <v>281</v>
      </c>
      <c r="C77" s="12" t="s">
        <v>23</v>
      </c>
      <c r="D77" s="11" t="s">
        <v>1091</v>
      </c>
      <c r="E77" s="11" t="s">
        <v>1117</v>
      </c>
      <c r="F77" s="12"/>
      <c r="G77" s="11" t="s">
        <v>1118</v>
      </c>
      <c r="H77" s="11" t="s">
        <v>1119</v>
      </c>
      <c r="I77" s="12" t="s">
        <v>1120</v>
      </c>
      <c r="J77" s="12" t="s">
        <v>1090</v>
      </c>
    </row>
    <row r="78" customFormat="false" ht="15" hidden="false" customHeight="false" outlineLevel="0" collapsed="false">
      <c r="A78" s="16" t="n">
        <v>46161</v>
      </c>
      <c r="B78" s="13" t="s">
        <v>324</v>
      </c>
      <c r="C78" s="12" t="s">
        <v>23</v>
      </c>
      <c r="D78" s="11" t="s">
        <v>1086</v>
      </c>
      <c r="E78" s="11" t="s">
        <v>1117</v>
      </c>
      <c r="F78" s="12"/>
      <c r="G78" s="11" t="s">
        <v>1118</v>
      </c>
      <c r="H78" s="11" t="s">
        <v>1119</v>
      </c>
      <c r="I78" s="12" t="s">
        <v>1102</v>
      </c>
      <c r="J78" s="12" t="s">
        <v>1090</v>
      </c>
    </row>
    <row r="79" customFormat="false" ht="15" hidden="false" customHeight="false" outlineLevel="0" collapsed="false">
      <c r="A79" s="16" t="n">
        <v>46161</v>
      </c>
      <c r="B79" s="13" t="s">
        <v>281</v>
      </c>
      <c r="C79" s="12" t="s">
        <v>23</v>
      </c>
      <c r="D79" s="11" t="s">
        <v>1086</v>
      </c>
      <c r="E79" s="11" t="s">
        <v>1117</v>
      </c>
      <c r="F79" s="12"/>
      <c r="G79" s="11" t="s">
        <v>1118</v>
      </c>
      <c r="H79" s="11" t="s">
        <v>1119</v>
      </c>
      <c r="I79" s="12" t="s">
        <v>1102</v>
      </c>
      <c r="J79" s="12" t="s">
        <v>1090</v>
      </c>
    </row>
    <row r="80" customFormat="false" ht="15" hidden="false" customHeight="false" outlineLevel="0" collapsed="false">
      <c r="A80" s="16" t="n">
        <v>46165</v>
      </c>
      <c r="B80" s="13" t="s">
        <v>467</v>
      </c>
      <c r="C80" s="12" t="s">
        <v>24</v>
      </c>
      <c r="D80" s="11" t="s">
        <v>1091</v>
      </c>
      <c r="E80" s="11" t="s">
        <v>1121</v>
      </c>
      <c r="F80" s="12"/>
      <c r="G80" s="11" t="s">
        <v>1097</v>
      </c>
      <c r="H80" s="11" t="s">
        <v>1122</v>
      </c>
      <c r="I80" s="12"/>
      <c r="J80" s="12" t="s">
        <v>1090</v>
      </c>
    </row>
    <row r="81" customFormat="false" ht="15" hidden="false" customHeight="false" outlineLevel="0" collapsed="false">
      <c r="A81" s="16" t="n">
        <v>46177</v>
      </c>
      <c r="B81" s="13" t="s">
        <v>486</v>
      </c>
      <c r="C81" s="12" t="s">
        <v>24</v>
      </c>
      <c r="D81" s="11" t="s">
        <v>1091</v>
      </c>
      <c r="E81" s="11" t="s">
        <v>943</v>
      </c>
      <c r="F81" s="12"/>
      <c r="G81" s="11" t="s">
        <v>1097</v>
      </c>
      <c r="H81" s="11" t="s">
        <v>1111</v>
      </c>
      <c r="I81" s="12"/>
      <c r="J81" s="12" t="s">
        <v>1090</v>
      </c>
    </row>
    <row r="82" customFormat="false" ht="15" hidden="false" customHeight="false" outlineLevel="0" collapsed="false">
      <c r="A82" s="16" t="n">
        <v>46196</v>
      </c>
      <c r="B82" s="11" t="s">
        <v>51</v>
      </c>
      <c r="C82" s="12" t="s">
        <v>22</v>
      </c>
      <c r="D82" s="11" t="s">
        <v>1091</v>
      </c>
      <c r="E82" s="11" t="s">
        <v>1123</v>
      </c>
      <c r="F82" s="12"/>
      <c r="G82" s="11" t="s">
        <v>1124</v>
      </c>
      <c r="H82" s="11" t="s">
        <v>1105</v>
      </c>
      <c r="I82" s="12" t="s">
        <v>1125</v>
      </c>
      <c r="J82" s="12" t="s">
        <v>1090</v>
      </c>
    </row>
    <row r="83" customFormat="false" ht="15" hidden="false" customHeight="false" outlineLevel="0" collapsed="false">
      <c r="A83" s="16" t="n">
        <v>46196</v>
      </c>
      <c r="B83" s="13" t="s">
        <v>217</v>
      </c>
      <c r="C83" s="12" t="s">
        <v>22</v>
      </c>
      <c r="D83" s="11" t="s">
        <v>1091</v>
      </c>
      <c r="E83" s="11" t="s">
        <v>1126</v>
      </c>
      <c r="F83" s="12"/>
      <c r="G83" s="11" t="s">
        <v>1127</v>
      </c>
      <c r="H83" s="11" t="s">
        <v>1128</v>
      </c>
      <c r="I83" s="12" t="s">
        <v>1125</v>
      </c>
      <c r="J83" s="12" t="s">
        <v>1090</v>
      </c>
    </row>
    <row r="84" customFormat="false" ht="15" hidden="false" customHeight="false" outlineLevel="0" collapsed="false">
      <c r="A84" s="16" t="n">
        <v>46198</v>
      </c>
      <c r="B84" s="11" t="s">
        <v>51</v>
      </c>
      <c r="C84" s="12" t="s">
        <v>22</v>
      </c>
      <c r="D84" s="11" t="s">
        <v>1086</v>
      </c>
      <c r="E84" s="11" t="s">
        <v>1123</v>
      </c>
      <c r="F84" s="12"/>
      <c r="G84" s="11" t="s">
        <v>1124</v>
      </c>
      <c r="H84" s="11" t="s">
        <v>1105</v>
      </c>
      <c r="I84" s="12" t="s">
        <v>1102</v>
      </c>
      <c r="J84" s="12" t="s">
        <v>1090</v>
      </c>
    </row>
    <row r="85" customFormat="false" ht="15" hidden="false" customHeight="false" outlineLevel="0" collapsed="false">
      <c r="A85" s="16" t="n">
        <v>46199</v>
      </c>
      <c r="B85" s="13" t="s">
        <v>471</v>
      </c>
      <c r="C85" s="12" t="s">
        <v>24</v>
      </c>
      <c r="D85" s="11" t="s">
        <v>1091</v>
      </c>
      <c r="E85" s="11" t="s">
        <v>1129</v>
      </c>
      <c r="F85" s="12"/>
      <c r="G85" s="11" t="s">
        <v>1130</v>
      </c>
      <c r="H85" s="11" t="s">
        <v>1122</v>
      </c>
      <c r="I85" s="12" t="s">
        <v>1125</v>
      </c>
      <c r="J85" s="12" t="s">
        <v>1090</v>
      </c>
    </row>
    <row r="86" customFormat="false" ht="15" hidden="false" customHeight="false" outlineLevel="0" collapsed="false">
      <c r="A86" s="16" t="n">
        <v>46200</v>
      </c>
      <c r="B86" s="13" t="s">
        <v>211</v>
      </c>
      <c r="C86" s="12" t="s">
        <v>22</v>
      </c>
      <c r="D86" s="11" t="s">
        <v>1091</v>
      </c>
      <c r="E86" s="11" t="s">
        <v>1131</v>
      </c>
      <c r="F86" s="12"/>
      <c r="G86" s="11" t="s">
        <v>1130</v>
      </c>
      <c r="H86" s="11" t="s">
        <v>1105</v>
      </c>
      <c r="I86" s="12"/>
      <c r="J86" s="12" t="s">
        <v>1090</v>
      </c>
    </row>
    <row r="87" customFormat="false" ht="15" hidden="false" customHeight="false" outlineLevel="0" collapsed="false">
      <c r="A87" s="16" t="n">
        <v>46202</v>
      </c>
      <c r="B87" s="13" t="s">
        <v>211</v>
      </c>
      <c r="C87" s="12" t="s">
        <v>22</v>
      </c>
      <c r="D87" s="11" t="s">
        <v>1086</v>
      </c>
      <c r="E87" s="11" t="s">
        <v>1131</v>
      </c>
      <c r="F87" s="12"/>
      <c r="G87" s="11" t="s">
        <v>1130</v>
      </c>
      <c r="H87" s="11" t="s">
        <v>1105</v>
      </c>
      <c r="I87" s="12" t="s">
        <v>1102</v>
      </c>
      <c r="J87" s="12" t="s">
        <v>1090</v>
      </c>
    </row>
    <row r="88" customFormat="false" ht="15" hidden="false" customHeight="false" outlineLevel="0" collapsed="false">
      <c r="A88" s="16" t="n">
        <v>46202</v>
      </c>
      <c r="B88" s="13" t="s">
        <v>227</v>
      </c>
      <c r="C88" s="12" t="s">
        <v>22</v>
      </c>
      <c r="D88" s="11" t="s">
        <v>1091</v>
      </c>
      <c r="E88" s="11" t="s">
        <v>1103</v>
      </c>
      <c r="F88" s="20" t="n">
        <v>41</v>
      </c>
      <c r="G88" s="11" t="s">
        <v>1104</v>
      </c>
      <c r="H88" s="11" t="s">
        <v>1105</v>
      </c>
      <c r="I88" s="12" t="s">
        <v>1132</v>
      </c>
      <c r="J88" s="12" t="s">
        <v>1090</v>
      </c>
    </row>
    <row r="89" customFormat="false" ht="15" hidden="false" customHeight="false" outlineLevel="0" collapsed="false">
      <c r="A89" s="16" t="n">
        <v>46202</v>
      </c>
      <c r="B89" s="11" t="s">
        <v>244</v>
      </c>
      <c r="C89" s="12" t="s">
        <v>23</v>
      </c>
      <c r="D89" s="11" t="s">
        <v>1091</v>
      </c>
      <c r="E89" s="11" t="s">
        <v>1096</v>
      </c>
      <c r="F89" s="12"/>
      <c r="G89" s="11" t="s">
        <v>1124</v>
      </c>
      <c r="H89" s="11" t="s">
        <v>1101</v>
      </c>
      <c r="I89" s="12"/>
      <c r="J89" s="12" t="s">
        <v>1090</v>
      </c>
    </row>
    <row r="90" customFormat="false" ht="15" hidden="false" customHeight="false" outlineLevel="0" collapsed="false">
      <c r="A90" s="16" t="n">
        <v>46205</v>
      </c>
      <c r="B90" s="13" t="s">
        <v>300</v>
      </c>
      <c r="C90" s="12" t="s">
        <v>23</v>
      </c>
      <c r="D90" s="11" t="s">
        <v>1091</v>
      </c>
      <c r="E90" s="11" t="s">
        <v>1133</v>
      </c>
      <c r="F90" s="12"/>
      <c r="G90" s="11" t="s">
        <v>1130</v>
      </c>
      <c r="H90" s="11" t="s">
        <v>1111</v>
      </c>
      <c r="I90" s="12" t="s">
        <v>1134</v>
      </c>
      <c r="J90" s="12" t="s">
        <v>1090</v>
      </c>
    </row>
    <row r="91" customFormat="false" ht="15" hidden="false" customHeight="false" outlineLevel="0" collapsed="false">
      <c r="A91" s="16" t="n">
        <v>46208</v>
      </c>
      <c r="B91" s="11" t="s">
        <v>48</v>
      </c>
      <c r="C91" s="12" t="s">
        <v>22</v>
      </c>
      <c r="D91" s="11" t="s">
        <v>1091</v>
      </c>
      <c r="E91" s="11" t="s">
        <v>1123</v>
      </c>
      <c r="F91" s="20" t="n">
        <v>40</v>
      </c>
      <c r="G91" s="11" t="s">
        <v>1127</v>
      </c>
      <c r="H91" s="11" t="s">
        <v>1128</v>
      </c>
      <c r="I91" s="12" t="s">
        <v>1135</v>
      </c>
      <c r="J91" s="12" t="s">
        <v>1090</v>
      </c>
    </row>
    <row r="92" customFormat="false" ht="15" hidden="false" customHeight="false" outlineLevel="0" collapsed="false">
      <c r="A92" s="16" t="n">
        <v>46209</v>
      </c>
      <c r="B92" s="13" t="s">
        <v>144</v>
      </c>
      <c r="C92" s="12" t="s">
        <v>22</v>
      </c>
      <c r="D92" s="11" t="s">
        <v>1091</v>
      </c>
      <c r="E92" s="11" t="s">
        <v>1096</v>
      </c>
      <c r="F92" s="20" t="n">
        <v>39</v>
      </c>
      <c r="G92" s="11" t="s">
        <v>1124</v>
      </c>
      <c r="H92" s="11" t="s">
        <v>1105</v>
      </c>
      <c r="I92" s="12"/>
      <c r="J92" s="12" t="s">
        <v>1090</v>
      </c>
    </row>
    <row r="93" customFormat="false" ht="15" hidden="false" customHeight="false" outlineLevel="0" collapsed="false">
      <c r="A93" s="16" t="n">
        <v>46223</v>
      </c>
      <c r="B93" s="13" t="s">
        <v>203</v>
      </c>
      <c r="C93" s="12" t="s">
        <v>22</v>
      </c>
      <c r="D93" s="11" t="s">
        <v>1086</v>
      </c>
      <c r="E93" s="11" t="s">
        <v>1136</v>
      </c>
      <c r="F93" s="12"/>
      <c r="G93" s="11" t="s">
        <v>1137</v>
      </c>
      <c r="H93" s="11" t="s">
        <v>1138</v>
      </c>
      <c r="I93" s="12"/>
      <c r="J93" s="12" t="s">
        <v>1139</v>
      </c>
    </row>
    <row r="94" customFormat="false" ht="15" hidden="false" customHeight="false" outlineLevel="0" collapsed="false">
      <c r="A94" s="16" t="n">
        <v>46225</v>
      </c>
      <c r="B94" s="13" t="s">
        <v>549</v>
      </c>
      <c r="C94" s="12" t="s">
        <v>24</v>
      </c>
      <c r="D94" s="11" t="s">
        <v>1091</v>
      </c>
      <c r="E94" s="11" t="s">
        <v>943</v>
      </c>
      <c r="F94" s="12"/>
      <c r="G94" s="11" t="s">
        <v>1140</v>
      </c>
      <c r="H94" s="11" t="s">
        <v>1141</v>
      </c>
      <c r="I94" s="12"/>
      <c r="J94" s="12" t="s">
        <v>1139</v>
      </c>
    </row>
    <row r="95" customFormat="false" ht="15" hidden="false" customHeight="false" outlineLevel="0" collapsed="false">
      <c r="A95" s="16" t="n">
        <v>46228</v>
      </c>
      <c r="B95" s="13" t="s">
        <v>144</v>
      </c>
      <c r="C95" s="12" t="s">
        <v>22</v>
      </c>
      <c r="D95" s="11" t="s">
        <v>1086</v>
      </c>
      <c r="E95" s="11" t="s">
        <v>1096</v>
      </c>
      <c r="F95" s="12"/>
      <c r="G95" s="11" t="s">
        <v>1142</v>
      </c>
      <c r="H95" s="11" t="s">
        <v>1143</v>
      </c>
      <c r="I95" s="12" t="s">
        <v>1144</v>
      </c>
      <c r="J95" s="12" t="s">
        <v>1139</v>
      </c>
    </row>
    <row r="96" customFormat="false" ht="15" hidden="false" customHeight="false" outlineLevel="0" collapsed="false">
      <c r="A96" s="16" t="n">
        <v>46230</v>
      </c>
      <c r="B96" s="13" t="s">
        <v>210</v>
      </c>
      <c r="C96" s="12" t="s">
        <v>22</v>
      </c>
      <c r="D96" s="11" t="s">
        <v>1091</v>
      </c>
      <c r="E96" s="11" t="s">
        <v>1145</v>
      </c>
      <c r="F96" s="12"/>
      <c r="G96" s="11" t="s">
        <v>1146</v>
      </c>
      <c r="H96" s="11" t="s">
        <v>1147</v>
      </c>
      <c r="I96" s="12" t="s">
        <v>1148</v>
      </c>
      <c r="J96" s="12" t="s">
        <v>1139</v>
      </c>
    </row>
    <row r="97" customFormat="false" ht="15" hidden="false" customHeight="false" outlineLevel="0" collapsed="false">
      <c r="A97" s="16" t="n">
        <v>46231</v>
      </c>
      <c r="B97" s="13" t="s">
        <v>210</v>
      </c>
      <c r="C97" s="12" t="s">
        <v>22</v>
      </c>
      <c r="D97" s="11" t="s">
        <v>1086</v>
      </c>
      <c r="E97" s="11" t="s">
        <v>1145</v>
      </c>
      <c r="F97" s="20" t="n">
        <v>41</v>
      </c>
      <c r="G97" s="11" t="s">
        <v>1146</v>
      </c>
      <c r="H97" s="11" t="s">
        <v>1147</v>
      </c>
      <c r="I97" s="12" t="s">
        <v>1102</v>
      </c>
      <c r="J97" s="12" t="s">
        <v>1139</v>
      </c>
    </row>
    <row r="98" customFormat="false" ht="15" hidden="false" customHeight="false" outlineLevel="0" collapsed="false">
      <c r="A98" s="16" t="n">
        <v>46232</v>
      </c>
      <c r="B98" s="13" t="s">
        <v>210</v>
      </c>
      <c r="C98" s="12" t="s">
        <v>22</v>
      </c>
      <c r="D98" s="11" t="s">
        <v>1086</v>
      </c>
      <c r="E98" s="11" t="s">
        <v>1145</v>
      </c>
      <c r="F98" s="20" t="n">
        <v>39</v>
      </c>
      <c r="G98" s="11" t="s">
        <v>1149</v>
      </c>
      <c r="H98" s="11" t="s">
        <v>1094</v>
      </c>
      <c r="I98" s="12" t="s">
        <v>1102</v>
      </c>
      <c r="J98" s="12" t="s">
        <v>1139</v>
      </c>
    </row>
    <row r="99" customFormat="false" ht="15" hidden="false" customHeight="false" outlineLevel="0" collapsed="false">
      <c r="A99" s="16" t="n">
        <v>46232</v>
      </c>
      <c r="B99" s="11" t="s">
        <v>244</v>
      </c>
      <c r="C99" s="12" t="s">
        <v>23</v>
      </c>
      <c r="D99" s="11" t="s">
        <v>1086</v>
      </c>
      <c r="E99" s="11" t="s">
        <v>1096</v>
      </c>
      <c r="F99" s="12"/>
      <c r="G99" s="11" t="s">
        <v>1150</v>
      </c>
      <c r="H99" s="11" t="s">
        <v>1151</v>
      </c>
      <c r="I99" s="12" t="s">
        <v>1152</v>
      </c>
      <c r="J99" s="12" t="s">
        <v>1139</v>
      </c>
    </row>
    <row r="100" customFormat="false" ht="15" hidden="false" customHeight="false" outlineLevel="0" collapsed="false">
      <c r="A100" s="16" t="n">
        <v>46235</v>
      </c>
      <c r="B100" s="13" t="s">
        <v>194</v>
      </c>
      <c r="C100" s="12" t="s">
        <v>22</v>
      </c>
      <c r="D100" s="11" t="s">
        <v>1091</v>
      </c>
      <c r="E100" s="11" t="s">
        <v>1153</v>
      </c>
      <c r="F100" s="12"/>
      <c r="G100" s="11" t="s">
        <v>1154</v>
      </c>
      <c r="H100" s="11" t="s">
        <v>1155</v>
      </c>
      <c r="I100" s="12" t="s">
        <v>1148</v>
      </c>
      <c r="J100" s="12" t="s">
        <v>1139</v>
      </c>
    </row>
    <row r="101" customFormat="false" ht="15" hidden="false" customHeight="false" outlineLevel="0" collapsed="false">
      <c r="A101" s="16" t="n">
        <v>46235</v>
      </c>
      <c r="B101" s="13" t="s">
        <v>217</v>
      </c>
      <c r="C101" s="12" t="s">
        <v>22</v>
      </c>
      <c r="D101" s="11" t="s">
        <v>1086</v>
      </c>
      <c r="E101" s="12"/>
      <c r="F101" s="12"/>
      <c r="G101" s="11" t="s">
        <v>1156</v>
      </c>
      <c r="H101" s="11" t="s">
        <v>1157</v>
      </c>
      <c r="I101" s="12"/>
      <c r="J101" s="12" t="s">
        <v>1139</v>
      </c>
    </row>
    <row r="102" customFormat="false" ht="15" hidden="false" customHeight="false" outlineLevel="0" collapsed="false">
      <c r="A102" s="16" t="n">
        <v>46238</v>
      </c>
      <c r="B102" s="13" t="s">
        <v>478</v>
      </c>
      <c r="C102" s="12" t="s">
        <v>24</v>
      </c>
      <c r="D102" s="11" t="s">
        <v>1091</v>
      </c>
      <c r="E102" s="11" t="s">
        <v>1158</v>
      </c>
      <c r="F102" s="12"/>
      <c r="G102" s="11" t="s">
        <v>1159</v>
      </c>
      <c r="H102" s="11" t="s">
        <v>1160</v>
      </c>
      <c r="I102" s="12"/>
      <c r="J102" s="12" t="s">
        <v>1139</v>
      </c>
    </row>
    <row r="103" customFormat="false" ht="15" hidden="false" customHeight="false" outlineLevel="0" collapsed="false">
      <c r="A103" s="16" t="n">
        <v>46239</v>
      </c>
      <c r="B103" s="13" t="s">
        <v>194</v>
      </c>
      <c r="C103" s="12" t="s">
        <v>22</v>
      </c>
      <c r="D103" s="11" t="s">
        <v>1086</v>
      </c>
      <c r="E103" s="11" t="s">
        <v>1153</v>
      </c>
      <c r="F103" s="20" t="n">
        <v>40.8</v>
      </c>
      <c r="G103" s="11" t="s">
        <v>1146</v>
      </c>
      <c r="H103" s="11" t="s">
        <v>1161</v>
      </c>
      <c r="I103" s="12" t="s">
        <v>1102</v>
      </c>
      <c r="J103" s="12" t="s">
        <v>1139</v>
      </c>
    </row>
    <row r="104" customFormat="false" ht="15" hidden="false" customHeight="false" outlineLevel="0" collapsed="false">
      <c r="A104" s="16" t="n">
        <v>46242</v>
      </c>
      <c r="B104" s="13" t="s">
        <v>194</v>
      </c>
      <c r="C104" s="12" t="s">
        <v>22</v>
      </c>
      <c r="D104" s="11" t="s">
        <v>1086</v>
      </c>
      <c r="E104" s="11" t="s">
        <v>1153</v>
      </c>
      <c r="F104" s="20" t="n">
        <v>39.8</v>
      </c>
      <c r="G104" s="11" t="s">
        <v>1146</v>
      </c>
      <c r="H104" s="11" t="s">
        <v>1161</v>
      </c>
      <c r="I104" s="12" t="s">
        <v>1102</v>
      </c>
      <c r="J104" s="12" t="s">
        <v>1139</v>
      </c>
    </row>
    <row r="105" customFormat="false" ht="15" hidden="false" customHeight="false" outlineLevel="0" collapsed="false">
      <c r="A105" s="16" t="n">
        <v>46244</v>
      </c>
      <c r="B105" s="13" t="s">
        <v>194</v>
      </c>
      <c r="C105" s="12" t="s">
        <v>22</v>
      </c>
      <c r="D105" s="11" t="s">
        <v>1086</v>
      </c>
      <c r="E105" s="11" t="s">
        <v>1153</v>
      </c>
      <c r="F105" s="20" t="n">
        <v>40.8</v>
      </c>
      <c r="G105" s="11" t="s">
        <v>1162</v>
      </c>
      <c r="H105" s="11" t="s">
        <v>1163</v>
      </c>
      <c r="I105" s="12" t="s">
        <v>1102</v>
      </c>
      <c r="J105" s="12" t="s">
        <v>1139</v>
      </c>
    </row>
    <row r="106" customFormat="false" ht="15" hidden="false" customHeight="false" outlineLevel="0" collapsed="false">
      <c r="A106" s="16" t="n">
        <v>46245</v>
      </c>
      <c r="B106" s="13" t="s">
        <v>381</v>
      </c>
      <c r="C106" s="12" t="s">
        <v>23</v>
      </c>
      <c r="D106" s="11" t="s">
        <v>1091</v>
      </c>
      <c r="E106" s="11" t="s">
        <v>1164</v>
      </c>
      <c r="F106" s="12"/>
      <c r="G106" s="11" t="s">
        <v>829</v>
      </c>
      <c r="H106" s="11"/>
      <c r="I106" s="12"/>
      <c r="J106" s="12" t="s">
        <v>1139</v>
      </c>
    </row>
    <row r="107" customFormat="false" ht="15" hidden="false" customHeight="false" outlineLevel="0" collapsed="false">
      <c r="A107" s="16" t="n">
        <v>46245</v>
      </c>
      <c r="B107" s="11" t="s">
        <v>633</v>
      </c>
      <c r="C107" s="12" t="s">
        <v>24</v>
      </c>
      <c r="D107" s="11" t="s">
        <v>1165</v>
      </c>
      <c r="E107" s="12"/>
      <c r="F107" s="12"/>
      <c r="G107" s="11"/>
      <c r="H107" s="11"/>
      <c r="I107" s="12" t="s">
        <v>1166</v>
      </c>
      <c r="J107" s="12" t="s">
        <v>1139</v>
      </c>
    </row>
    <row r="108" customFormat="false" ht="15" hidden="false" customHeight="false" outlineLevel="0" collapsed="false">
      <c r="A108" s="16" t="n">
        <v>46246</v>
      </c>
      <c r="B108" s="13" t="s">
        <v>194</v>
      </c>
      <c r="C108" s="12" t="s">
        <v>22</v>
      </c>
      <c r="D108" s="11" t="s">
        <v>1086</v>
      </c>
      <c r="E108" s="11" t="s">
        <v>1153</v>
      </c>
      <c r="F108" s="20" t="n">
        <v>39.4</v>
      </c>
      <c r="G108" s="11" t="s">
        <v>1167</v>
      </c>
      <c r="H108" s="11" t="s">
        <v>1168</v>
      </c>
      <c r="I108" s="12" t="s">
        <v>1169</v>
      </c>
      <c r="J108" s="12" t="s">
        <v>1139</v>
      </c>
    </row>
    <row r="109" customFormat="false" ht="15" hidden="false" customHeight="false" outlineLevel="0" collapsed="false">
      <c r="A109" s="16" t="n">
        <v>46253</v>
      </c>
      <c r="B109" s="13" t="s">
        <v>227</v>
      </c>
      <c r="C109" s="12" t="s">
        <v>22</v>
      </c>
      <c r="D109" s="11" t="s">
        <v>1091</v>
      </c>
      <c r="E109" s="11" t="s">
        <v>1123</v>
      </c>
      <c r="F109" s="20" t="n">
        <v>40.35</v>
      </c>
      <c r="G109" s="11" t="s">
        <v>1127</v>
      </c>
      <c r="H109" s="11" t="s">
        <v>1170</v>
      </c>
      <c r="I109" s="12"/>
      <c r="J109" s="12" t="s">
        <v>1090</v>
      </c>
    </row>
    <row r="110" customFormat="false" ht="15" hidden="false" customHeight="false" outlineLevel="0" collapsed="false">
      <c r="A110" s="16" t="n">
        <v>46260</v>
      </c>
      <c r="B110" s="13" t="s">
        <v>209</v>
      </c>
      <c r="C110" s="12" t="s">
        <v>22</v>
      </c>
      <c r="D110" s="11" t="s">
        <v>1091</v>
      </c>
      <c r="E110" s="11" t="s">
        <v>1123</v>
      </c>
      <c r="F110" s="20" t="n">
        <v>40.34</v>
      </c>
      <c r="G110" s="11" t="s">
        <v>1127</v>
      </c>
      <c r="H110" s="11" t="s">
        <v>1171</v>
      </c>
      <c r="I110" s="12" t="s">
        <v>1172</v>
      </c>
      <c r="J110" s="12" t="s">
        <v>1090</v>
      </c>
    </row>
    <row r="111" customFormat="false" ht="15" hidden="false" customHeight="false" outlineLevel="0" collapsed="false">
      <c r="A111" s="16" t="n">
        <v>46260</v>
      </c>
      <c r="B111" s="13" t="s">
        <v>231</v>
      </c>
      <c r="C111" s="12" t="s">
        <v>22</v>
      </c>
      <c r="D111" s="11" t="s">
        <v>1091</v>
      </c>
      <c r="E111" s="11" t="s">
        <v>1123</v>
      </c>
      <c r="F111" s="20" t="n">
        <v>40.34</v>
      </c>
      <c r="G111" s="11" t="s">
        <v>1127</v>
      </c>
      <c r="H111" s="11" t="s">
        <v>1171</v>
      </c>
      <c r="I111" s="12" t="s">
        <v>1172</v>
      </c>
      <c r="J111" s="12" t="s">
        <v>1090</v>
      </c>
    </row>
    <row r="112" customFormat="false" ht="15" hidden="false" customHeight="false" outlineLevel="0" collapsed="false">
      <c r="A112" s="16" t="n">
        <v>46261</v>
      </c>
      <c r="B112" s="13" t="s">
        <v>624</v>
      </c>
      <c r="C112" s="12" t="s">
        <v>24</v>
      </c>
      <c r="D112" s="11" t="s">
        <v>1091</v>
      </c>
      <c r="E112" s="11" t="s">
        <v>1096</v>
      </c>
      <c r="F112" s="12"/>
      <c r="G112" s="11" t="s">
        <v>1173</v>
      </c>
      <c r="H112" s="11" t="s">
        <v>1174</v>
      </c>
      <c r="I112" s="12" t="s">
        <v>1175</v>
      </c>
      <c r="J112" s="12" t="s">
        <v>1139</v>
      </c>
    </row>
    <row r="113" customFormat="false" ht="15" hidden="false" customHeight="false" outlineLevel="0" collapsed="false">
      <c r="A113" s="16" t="n">
        <v>46261</v>
      </c>
      <c r="B113" s="13" t="s">
        <v>626</v>
      </c>
      <c r="C113" s="12" t="s">
        <v>24</v>
      </c>
      <c r="D113" s="11" t="s">
        <v>1091</v>
      </c>
      <c r="E113" s="11" t="s">
        <v>1096</v>
      </c>
      <c r="F113" s="12"/>
      <c r="G113" s="11" t="s">
        <v>1173</v>
      </c>
      <c r="H113" s="11" t="s">
        <v>1174</v>
      </c>
      <c r="I113" s="12" t="s">
        <v>1175</v>
      </c>
      <c r="J113" s="12" t="s">
        <v>1139</v>
      </c>
    </row>
    <row r="114" customFormat="false" ht="15" hidden="false" customHeight="false" outlineLevel="0" collapsed="false">
      <c r="A114" s="16" t="n">
        <v>46262</v>
      </c>
      <c r="B114" s="11" t="s">
        <v>59</v>
      </c>
      <c r="C114" s="12" t="s">
        <v>22</v>
      </c>
      <c r="D114" s="11" t="s">
        <v>1091</v>
      </c>
      <c r="E114" s="11" t="s">
        <v>1176</v>
      </c>
      <c r="F114" s="12"/>
      <c r="G114" s="11" t="s">
        <v>1177</v>
      </c>
      <c r="H114" s="11" t="s">
        <v>1105</v>
      </c>
      <c r="I114" s="12"/>
      <c r="J114" s="12" t="s">
        <v>1139</v>
      </c>
    </row>
    <row r="115" customFormat="false" ht="15" hidden="false" customHeight="false" outlineLevel="0" collapsed="false">
      <c r="A115" s="16" t="n">
        <v>46262</v>
      </c>
      <c r="B115" s="13" t="s">
        <v>624</v>
      </c>
      <c r="C115" s="12" t="s">
        <v>24</v>
      </c>
      <c r="D115" s="11" t="s">
        <v>1086</v>
      </c>
      <c r="E115" s="11" t="s">
        <v>1096</v>
      </c>
      <c r="F115" s="12"/>
      <c r="G115" s="11" t="s">
        <v>1178</v>
      </c>
      <c r="H115" s="11" t="s">
        <v>1179</v>
      </c>
      <c r="I115" s="12" t="s">
        <v>1180</v>
      </c>
      <c r="J115" s="12" t="s">
        <v>1139</v>
      </c>
    </row>
    <row r="116" customFormat="false" ht="15" hidden="false" customHeight="false" outlineLevel="0" collapsed="false">
      <c r="A116" s="16" t="n">
        <v>46265</v>
      </c>
      <c r="B116" s="11" t="s">
        <v>59</v>
      </c>
      <c r="C116" s="12" t="s">
        <v>22</v>
      </c>
      <c r="D116" s="11" t="s">
        <v>1086</v>
      </c>
      <c r="E116" s="11" t="s">
        <v>1176</v>
      </c>
      <c r="F116" s="12"/>
      <c r="G116" s="11" t="s">
        <v>1181</v>
      </c>
      <c r="H116" s="11" t="s">
        <v>1088</v>
      </c>
      <c r="I116" s="12" t="s">
        <v>1102</v>
      </c>
      <c r="J116" s="12" t="s">
        <v>1139</v>
      </c>
    </row>
    <row r="117" customFormat="false" ht="15" hidden="false" customHeight="false" outlineLevel="0" collapsed="false">
      <c r="A117" s="16" t="n">
        <v>46267</v>
      </c>
      <c r="B117" s="13" t="s">
        <v>209</v>
      </c>
      <c r="C117" s="12" t="s">
        <v>22</v>
      </c>
      <c r="D117" s="11" t="s">
        <v>1086</v>
      </c>
      <c r="E117" s="11" t="s">
        <v>1123</v>
      </c>
      <c r="F117" s="20" t="n">
        <v>40.04</v>
      </c>
      <c r="G117" s="11" t="s">
        <v>1127</v>
      </c>
      <c r="H117" s="11" t="s">
        <v>1171</v>
      </c>
      <c r="I117" s="12" t="s">
        <v>1102</v>
      </c>
      <c r="J117" s="12" t="s">
        <v>1090</v>
      </c>
    </row>
    <row r="118" customFormat="false" ht="15" hidden="false" customHeight="false" outlineLevel="0" collapsed="false">
      <c r="A118" s="16" t="n">
        <v>46267</v>
      </c>
      <c r="B118" s="13" t="s">
        <v>231</v>
      </c>
      <c r="C118" s="12" t="s">
        <v>22</v>
      </c>
      <c r="D118" s="11" t="s">
        <v>1086</v>
      </c>
      <c r="E118" s="11" t="s">
        <v>1123</v>
      </c>
      <c r="F118" s="20" t="n">
        <v>40.04</v>
      </c>
      <c r="G118" s="11" t="s">
        <v>1127</v>
      </c>
      <c r="H118" s="11" t="s">
        <v>1171</v>
      </c>
      <c r="I118" s="12" t="s">
        <v>1102</v>
      </c>
      <c r="J118" s="12" t="s">
        <v>1090</v>
      </c>
    </row>
  </sheetData>
  <autoFilter ref="A1:J118"/>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2"/>
    <col collapsed="false" customWidth="true" hidden="false" outlineLevel="0" max="4" min="4" style="0" width="28"/>
    <col collapsed="false" customWidth="true" hidden="false" outlineLevel="0" max="5" min="5" style="0" width="16"/>
    <col collapsed="false" customWidth="true" hidden="false" outlineLevel="0" max="6" min="6" style="0" width="20"/>
    <col collapsed="false" customWidth="true" hidden="false" outlineLevel="0" max="7" min="7" style="0" width="30"/>
    <col collapsed="false" customWidth="true" hidden="false" outlineLevel="0" max="8" min="8" style="0" width="36"/>
  </cols>
  <sheetData>
    <row r="1" customFormat="false" ht="15" hidden="false" customHeight="false" outlineLevel="0" collapsed="false">
      <c r="A1" s="10" t="s">
        <v>642</v>
      </c>
      <c r="B1" s="10" t="s">
        <v>18</v>
      </c>
      <c r="C1" s="10" t="s">
        <v>1182</v>
      </c>
      <c r="D1" s="10" t="s">
        <v>1183</v>
      </c>
      <c r="E1" s="10" t="s">
        <v>1184</v>
      </c>
      <c r="F1" s="10" t="s">
        <v>1185</v>
      </c>
      <c r="G1" s="10" t="s">
        <v>38</v>
      </c>
      <c r="H1" s="10" t="s">
        <v>646</v>
      </c>
    </row>
    <row r="2" customFormat="false" ht="15" hidden="false" customHeight="false" outlineLevel="0" collapsed="false">
      <c r="A2" s="16" t="n">
        <v>46098</v>
      </c>
      <c r="B2" s="11" t="s">
        <v>22</v>
      </c>
      <c r="C2" s="11" t="s">
        <v>1186</v>
      </c>
      <c r="D2" s="11" t="s">
        <v>1187</v>
      </c>
      <c r="E2" s="11" t="s">
        <v>1188</v>
      </c>
      <c r="F2" s="11" t="s">
        <v>1189</v>
      </c>
      <c r="G2" s="12" t="s">
        <v>1190</v>
      </c>
      <c r="H2" s="12" t="s">
        <v>1191</v>
      </c>
    </row>
    <row r="3" customFormat="false" ht="15" hidden="false" customHeight="false" outlineLevel="0" collapsed="false">
      <c r="A3" s="16" t="n">
        <v>46098</v>
      </c>
      <c r="B3" s="11" t="s">
        <v>22</v>
      </c>
      <c r="C3" s="11" t="s">
        <v>1186</v>
      </c>
      <c r="D3" s="11" t="s">
        <v>1097</v>
      </c>
      <c r="E3" s="11" t="s">
        <v>1192</v>
      </c>
      <c r="F3" s="11" t="s">
        <v>1189</v>
      </c>
      <c r="G3" s="12" t="s">
        <v>1193</v>
      </c>
      <c r="H3" s="12" t="s">
        <v>1194</v>
      </c>
    </row>
    <row r="4" customFormat="false" ht="15" hidden="false" customHeight="false" outlineLevel="0" collapsed="false">
      <c r="A4" s="16" t="n">
        <v>46156</v>
      </c>
      <c r="B4" s="11" t="s">
        <v>1195</v>
      </c>
      <c r="C4" s="11" t="s">
        <v>1196</v>
      </c>
      <c r="D4" s="11" t="s">
        <v>1097</v>
      </c>
      <c r="E4" s="11" t="s">
        <v>1105</v>
      </c>
      <c r="F4" s="11" t="s">
        <v>1195</v>
      </c>
      <c r="G4" s="12" t="s">
        <v>1197</v>
      </c>
      <c r="H4" s="12" t="s">
        <v>1194</v>
      </c>
    </row>
    <row r="5" customFormat="false" ht="15" hidden="false" customHeight="false" outlineLevel="0" collapsed="false">
      <c r="A5" s="16" t="n">
        <v>46205</v>
      </c>
      <c r="B5" s="11" t="s">
        <v>23</v>
      </c>
      <c r="C5" s="11" t="s">
        <v>1196</v>
      </c>
      <c r="D5" s="11" t="s">
        <v>1130</v>
      </c>
      <c r="E5" s="11" t="s">
        <v>1111</v>
      </c>
      <c r="F5" s="11" t="s">
        <v>1198</v>
      </c>
      <c r="G5" s="12" t="s">
        <v>1199</v>
      </c>
      <c r="H5" s="12" t="s">
        <v>1200</v>
      </c>
    </row>
    <row r="6" customFormat="false" ht="15" hidden="false" customHeight="false" outlineLevel="0" collapsed="false">
      <c r="A6" s="16" t="n">
        <v>46215</v>
      </c>
      <c r="B6" s="11" t="s">
        <v>23</v>
      </c>
      <c r="C6" s="11" t="s">
        <v>1201</v>
      </c>
      <c r="D6" s="11" t="s">
        <v>1202</v>
      </c>
      <c r="E6" s="11" t="s">
        <v>1203</v>
      </c>
      <c r="F6" s="11" t="s">
        <v>1204</v>
      </c>
      <c r="G6" s="12"/>
      <c r="H6" s="12" t="s">
        <v>1139</v>
      </c>
    </row>
    <row r="7" customFormat="false" ht="15" hidden="false" customHeight="false" outlineLevel="0" collapsed="false">
      <c r="A7" s="16" t="n">
        <v>46219</v>
      </c>
      <c r="B7" s="11" t="s">
        <v>23</v>
      </c>
      <c r="C7" s="11" t="s">
        <v>1205</v>
      </c>
      <c r="D7" s="11" t="s">
        <v>1206</v>
      </c>
      <c r="E7" s="11" t="s">
        <v>1207</v>
      </c>
      <c r="F7" s="11" t="s">
        <v>1208</v>
      </c>
      <c r="G7" s="12" t="s">
        <v>1209</v>
      </c>
      <c r="H7" s="12" t="s">
        <v>1139</v>
      </c>
    </row>
    <row r="8" customFormat="false" ht="15" hidden="false" customHeight="false" outlineLevel="0" collapsed="false">
      <c r="A8" s="16" t="n">
        <v>46219</v>
      </c>
      <c r="B8" s="11" t="s">
        <v>23</v>
      </c>
      <c r="C8" s="11" t="s">
        <v>1196</v>
      </c>
      <c r="D8" s="11" t="s">
        <v>1210</v>
      </c>
      <c r="E8" s="11" t="s">
        <v>1211</v>
      </c>
      <c r="F8" s="11" t="s">
        <v>1212</v>
      </c>
      <c r="G8" s="12" t="s">
        <v>1213</v>
      </c>
      <c r="H8" s="12" t="s">
        <v>1139</v>
      </c>
    </row>
    <row r="9" customFormat="false" ht="15" hidden="false" customHeight="false" outlineLevel="0" collapsed="false">
      <c r="A9" s="16" t="n">
        <v>46219</v>
      </c>
      <c r="B9" s="11" t="s">
        <v>1214</v>
      </c>
      <c r="C9" s="11" t="s">
        <v>1215</v>
      </c>
      <c r="D9" s="11" t="s">
        <v>1216</v>
      </c>
      <c r="E9" s="11" t="s">
        <v>1217</v>
      </c>
      <c r="F9" s="11" t="s">
        <v>1204</v>
      </c>
      <c r="G9" s="12"/>
      <c r="H9" s="12" t="s">
        <v>1139</v>
      </c>
    </row>
    <row r="10" customFormat="false" ht="15" hidden="false" customHeight="false" outlineLevel="0" collapsed="false">
      <c r="A10" s="16" t="n">
        <v>46221</v>
      </c>
      <c r="B10" s="11" t="s">
        <v>22</v>
      </c>
      <c r="C10" s="11" t="s">
        <v>1201</v>
      </c>
      <c r="D10" s="11" t="s">
        <v>1202</v>
      </c>
      <c r="E10" s="11" t="s">
        <v>1218</v>
      </c>
      <c r="F10" s="11" t="s">
        <v>1204</v>
      </c>
      <c r="G10" s="12"/>
      <c r="H10" s="12" t="s">
        <v>1139</v>
      </c>
    </row>
    <row r="11" customFormat="false" ht="15" hidden="false" customHeight="false" outlineLevel="0" collapsed="false">
      <c r="A11" s="16" t="n">
        <v>46222</v>
      </c>
      <c r="B11" s="11" t="s">
        <v>23</v>
      </c>
      <c r="C11" s="11" t="s">
        <v>1219</v>
      </c>
      <c r="D11" s="11" t="s">
        <v>1220</v>
      </c>
      <c r="E11" s="11" t="s">
        <v>1220</v>
      </c>
      <c r="F11" s="11" t="s">
        <v>1204</v>
      </c>
      <c r="G11" s="12" t="s">
        <v>1221</v>
      </c>
      <c r="H11" s="12" t="s">
        <v>1222</v>
      </c>
    </row>
    <row r="12" customFormat="false" ht="15" hidden="false" customHeight="false" outlineLevel="0" collapsed="false">
      <c r="A12" s="16" t="n">
        <v>46222</v>
      </c>
      <c r="B12" s="11" t="s">
        <v>24</v>
      </c>
      <c r="C12" s="11" t="s">
        <v>1219</v>
      </c>
      <c r="D12" s="11" t="s">
        <v>1220</v>
      </c>
      <c r="E12" s="11" t="s">
        <v>1220</v>
      </c>
      <c r="F12" s="11" t="s">
        <v>1223</v>
      </c>
      <c r="G12" s="12" t="s">
        <v>1221</v>
      </c>
      <c r="H12" s="12" t="s">
        <v>1222</v>
      </c>
    </row>
    <row r="13" customFormat="false" ht="15" hidden="false" customHeight="false" outlineLevel="0" collapsed="false">
      <c r="A13" s="16" t="n">
        <v>46225</v>
      </c>
      <c r="B13" s="11" t="s">
        <v>22</v>
      </c>
      <c r="C13" s="11" t="s">
        <v>1219</v>
      </c>
      <c r="D13" s="11" t="s">
        <v>1224</v>
      </c>
      <c r="E13" s="11" t="s">
        <v>1218</v>
      </c>
      <c r="F13" s="11" t="s">
        <v>1204</v>
      </c>
      <c r="G13" s="12"/>
      <c r="H13" s="12" t="s">
        <v>1139</v>
      </c>
    </row>
    <row r="14" customFormat="false" ht="15" hidden="false" customHeight="false" outlineLevel="0" collapsed="false">
      <c r="A14" s="16" t="n">
        <v>46228</v>
      </c>
      <c r="B14" s="11" t="s">
        <v>22</v>
      </c>
      <c r="C14" s="11" t="s">
        <v>1219</v>
      </c>
      <c r="D14" s="11" t="s">
        <v>1220</v>
      </c>
      <c r="E14" s="11" t="s">
        <v>1218</v>
      </c>
      <c r="F14" s="11" t="s">
        <v>1204</v>
      </c>
      <c r="G14" s="12"/>
      <c r="H14" s="12" t="s">
        <v>1139</v>
      </c>
    </row>
    <row r="15" customFormat="false" ht="15" hidden="false" customHeight="false" outlineLevel="0" collapsed="false">
      <c r="A15" s="16" t="n">
        <v>46235</v>
      </c>
      <c r="B15" s="11" t="s">
        <v>22</v>
      </c>
      <c r="C15" s="11" t="s">
        <v>1219</v>
      </c>
      <c r="D15" s="11" t="s">
        <v>1220</v>
      </c>
      <c r="E15" s="11" t="s">
        <v>1218</v>
      </c>
      <c r="F15" s="11" t="s">
        <v>1204</v>
      </c>
      <c r="G15" s="12"/>
      <c r="H15" s="12" t="s">
        <v>1139</v>
      </c>
    </row>
    <row r="16" customFormat="false" ht="15" hidden="false" customHeight="false" outlineLevel="0" collapsed="false">
      <c r="A16" s="16" t="n">
        <v>46235</v>
      </c>
      <c r="B16" s="11" t="s">
        <v>23</v>
      </c>
      <c r="C16" s="11" t="s">
        <v>1219</v>
      </c>
      <c r="D16" s="11" t="s">
        <v>1220</v>
      </c>
      <c r="E16" s="11" t="s">
        <v>1203</v>
      </c>
      <c r="F16" s="11" t="s">
        <v>1204</v>
      </c>
      <c r="G16" s="12"/>
      <c r="H16" s="12" t="s">
        <v>1139</v>
      </c>
    </row>
    <row r="17" customFormat="false" ht="15" hidden="false" customHeight="false" outlineLevel="0" collapsed="false">
      <c r="A17" s="16" t="n">
        <v>46239</v>
      </c>
      <c r="B17" s="11" t="s">
        <v>22</v>
      </c>
      <c r="C17" s="11" t="s">
        <v>1219</v>
      </c>
      <c r="D17" s="11" t="s">
        <v>1224</v>
      </c>
      <c r="E17" s="11" t="s">
        <v>1218</v>
      </c>
      <c r="F17" s="11" t="s">
        <v>1204</v>
      </c>
      <c r="G17" s="12"/>
      <c r="H17" s="12" t="s">
        <v>1139</v>
      </c>
    </row>
    <row r="18" customFormat="false" ht="15" hidden="false" customHeight="false" outlineLevel="0" collapsed="false">
      <c r="A18" s="16" t="n">
        <v>46241</v>
      </c>
      <c r="B18" s="11" t="s">
        <v>23</v>
      </c>
      <c r="C18" s="11" t="s">
        <v>1201</v>
      </c>
      <c r="D18" s="11" t="s">
        <v>1202</v>
      </c>
      <c r="E18" s="11" t="s">
        <v>1203</v>
      </c>
      <c r="F18" s="11" t="s">
        <v>1204</v>
      </c>
      <c r="G18" s="12"/>
      <c r="H18" s="12" t="s">
        <v>1139</v>
      </c>
    </row>
    <row r="19" customFormat="false" ht="15" hidden="false" customHeight="false" outlineLevel="0" collapsed="false">
      <c r="A19" s="16" t="n">
        <v>46247</v>
      </c>
      <c r="B19" s="11" t="s">
        <v>23</v>
      </c>
      <c r="C19" s="11" t="s">
        <v>1219</v>
      </c>
      <c r="D19" s="11" t="s">
        <v>1220</v>
      </c>
      <c r="E19" s="11" t="s">
        <v>1203</v>
      </c>
      <c r="F19" s="11" t="s">
        <v>1204</v>
      </c>
      <c r="G19" s="12"/>
      <c r="H19" s="12" t="s">
        <v>1139</v>
      </c>
    </row>
    <row r="20" customFormat="false" ht="15" hidden="false" customHeight="false" outlineLevel="0" collapsed="false">
      <c r="A20" s="16" t="n">
        <v>46252</v>
      </c>
      <c r="B20" s="11" t="s">
        <v>24</v>
      </c>
      <c r="C20" s="11" t="s">
        <v>1205</v>
      </c>
      <c r="D20" s="11" t="s">
        <v>1225</v>
      </c>
      <c r="E20" s="11" t="s">
        <v>1226</v>
      </c>
      <c r="F20" s="11" t="s">
        <v>1227</v>
      </c>
      <c r="G20" s="12"/>
      <c r="H20" s="12" t="s">
        <v>1139</v>
      </c>
    </row>
    <row r="21" customFormat="false" ht="15" hidden="false" customHeight="false" outlineLevel="0" collapsed="false">
      <c r="A21" s="16" t="n">
        <v>46254</v>
      </c>
      <c r="B21" s="11" t="s">
        <v>23</v>
      </c>
      <c r="C21" s="11" t="s">
        <v>1205</v>
      </c>
      <c r="D21" s="11" t="s">
        <v>1225</v>
      </c>
      <c r="E21" s="11" t="s">
        <v>1228</v>
      </c>
      <c r="F21" s="11" t="s">
        <v>1229</v>
      </c>
      <c r="G21" s="12"/>
      <c r="H21" s="12" t="s">
        <v>1139</v>
      </c>
    </row>
    <row r="22" customFormat="false" ht="15" hidden="false" customHeight="false" outlineLevel="0" collapsed="false">
      <c r="A22" s="16" t="n">
        <v>46255</v>
      </c>
      <c r="B22" s="11" t="s">
        <v>22</v>
      </c>
      <c r="C22" s="11" t="s">
        <v>1201</v>
      </c>
      <c r="D22" s="11" t="s">
        <v>1224</v>
      </c>
      <c r="E22" s="11" t="s">
        <v>1230</v>
      </c>
      <c r="F22" s="11" t="s">
        <v>1204</v>
      </c>
      <c r="G22" s="12"/>
      <c r="H22" s="12" t="s">
        <v>1231</v>
      </c>
    </row>
    <row r="23" customFormat="false" ht="15" hidden="false" customHeight="false" outlineLevel="0" collapsed="false">
      <c r="A23" s="16" t="n">
        <v>46260</v>
      </c>
      <c r="B23" s="11" t="s">
        <v>22</v>
      </c>
      <c r="C23" s="11" t="s">
        <v>1201</v>
      </c>
      <c r="D23" s="11" t="s">
        <v>1224</v>
      </c>
      <c r="E23" s="11" t="s">
        <v>1232</v>
      </c>
      <c r="F23" s="11" t="s">
        <v>1204</v>
      </c>
      <c r="G23" s="12"/>
      <c r="H23" s="12" t="s">
        <v>1139</v>
      </c>
    </row>
    <row r="24" customFormat="false" ht="15" hidden="false" customHeight="false" outlineLevel="0" collapsed="false">
      <c r="A24" s="16" t="n">
        <v>46263</v>
      </c>
      <c r="B24" s="11" t="s">
        <v>24</v>
      </c>
      <c r="C24" s="11" t="s">
        <v>1233</v>
      </c>
      <c r="D24" s="11" t="s">
        <v>1234</v>
      </c>
      <c r="E24" s="11" t="s">
        <v>1203</v>
      </c>
      <c r="F24" s="11" t="s">
        <v>1235</v>
      </c>
      <c r="G24" s="12" t="s">
        <v>1236</v>
      </c>
      <c r="H24" s="12" t="s">
        <v>1139</v>
      </c>
    </row>
    <row r="25" customFormat="false" ht="15" hidden="false" customHeight="false" outlineLevel="0" collapsed="false">
      <c r="A25" s="16" t="n">
        <v>46266</v>
      </c>
      <c r="B25" s="11" t="s">
        <v>24</v>
      </c>
      <c r="C25" s="11" t="s">
        <v>1196</v>
      </c>
      <c r="D25" s="11" t="s">
        <v>1237</v>
      </c>
      <c r="E25" s="11" t="s">
        <v>1238</v>
      </c>
      <c r="F25" s="11" t="s">
        <v>1239</v>
      </c>
      <c r="G25" s="12"/>
      <c r="H25" s="12" t="s">
        <v>1139</v>
      </c>
    </row>
    <row r="27" customFormat="false" ht="15" hidden="false" customHeight="false" outlineLevel="0" collapsed="false">
      <c r="A27" s="8" t="s">
        <v>1240</v>
      </c>
    </row>
  </sheetData>
  <autoFilter ref="A1:H25"/>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9"/>
    <col collapsed="false" customWidth="true" hidden="false" outlineLevel="0" max="4" min="4" style="0" width="12"/>
    <col collapsed="false" customWidth="true" hidden="false" outlineLevel="0" max="5" min="5" style="0" width="18"/>
    <col collapsed="false" customWidth="true" hidden="false" outlineLevel="0" max="6" min="6" style="0" width="80"/>
  </cols>
  <sheetData>
    <row r="1" customFormat="false" ht="15" hidden="false" customHeight="false" outlineLevel="0" collapsed="false">
      <c r="A1" s="10" t="s">
        <v>642</v>
      </c>
      <c r="B1" s="10" t="s">
        <v>26</v>
      </c>
      <c r="C1" s="10" t="s">
        <v>18</v>
      </c>
      <c r="D1" s="10" t="s">
        <v>963</v>
      </c>
      <c r="E1" s="10" t="s">
        <v>1241</v>
      </c>
      <c r="F1" s="10" t="s">
        <v>646</v>
      </c>
    </row>
    <row r="2" customFormat="false" ht="15" hidden="false" customHeight="false" outlineLevel="0" collapsed="false">
      <c r="A2" s="16" t="n">
        <v>45838</v>
      </c>
      <c r="B2" s="13" t="s">
        <v>200</v>
      </c>
      <c r="C2" s="12" t="s">
        <v>22</v>
      </c>
      <c r="D2" s="20" t="n">
        <v>360</v>
      </c>
      <c r="E2" s="12" t="s">
        <v>1242</v>
      </c>
      <c r="F2" s="12" t="s">
        <v>973</v>
      </c>
    </row>
    <row r="3" customFormat="false" ht="15" hidden="false" customHeight="false" outlineLevel="0" collapsed="false">
      <c r="A3" s="16" t="n">
        <v>45838</v>
      </c>
      <c r="B3" s="13" t="s">
        <v>77</v>
      </c>
      <c r="C3" s="12" t="s">
        <v>22</v>
      </c>
      <c r="D3" s="20" t="n">
        <v>392</v>
      </c>
      <c r="E3" s="12" t="s">
        <v>1242</v>
      </c>
      <c r="F3" s="12" t="s">
        <v>973</v>
      </c>
    </row>
    <row r="4" customFormat="false" ht="15" hidden="false" customHeight="false" outlineLevel="0" collapsed="false">
      <c r="A4" s="16" t="n">
        <v>45838</v>
      </c>
      <c r="B4" s="13" t="s">
        <v>103</v>
      </c>
      <c r="C4" s="12" t="s">
        <v>22</v>
      </c>
      <c r="D4" s="20" t="n">
        <v>360</v>
      </c>
      <c r="E4" s="12" t="s">
        <v>1242</v>
      </c>
      <c r="F4" s="12" t="s">
        <v>973</v>
      </c>
    </row>
    <row r="5" customFormat="false" ht="15" hidden="false" customHeight="false" outlineLevel="0" collapsed="false">
      <c r="A5" s="16" t="n">
        <v>45838</v>
      </c>
      <c r="B5" s="13" t="s">
        <v>92</v>
      </c>
      <c r="C5" s="12" t="s">
        <v>22</v>
      </c>
      <c r="D5" s="20" t="n">
        <v>459</v>
      </c>
      <c r="E5" s="12" t="s">
        <v>1242</v>
      </c>
      <c r="F5" s="12" t="s">
        <v>973</v>
      </c>
    </row>
    <row r="6" customFormat="false" ht="15" hidden="false" customHeight="false" outlineLevel="0" collapsed="false">
      <c r="A6" s="16" t="n">
        <v>45838</v>
      </c>
      <c r="B6" s="13" t="s">
        <v>76</v>
      </c>
      <c r="C6" s="12" t="s">
        <v>22</v>
      </c>
      <c r="D6" s="20" t="n">
        <v>372</v>
      </c>
      <c r="E6" s="12" t="s">
        <v>1242</v>
      </c>
      <c r="F6" s="12" t="s">
        <v>973</v>
      </c>
    </row>
    <row r="7" customFormat="false" ht="15" hidden="false" customHeight="false" outlineLevel="0" collapsed="false">
      <c r="A7" s="16" t="n">
        <v>45838</v>
      </c>
      <c r="B7" s="13" t="s">
        <v>88</v>
      </c>
      <c r="C7" s="12" t="s">
        <v>22</v>
      </c>
      <c r="D7" s="20" t="n">
        <v>427</v>
      </c>
      <c r="E7" s="12" t="s">
        <v>1242</v>
      </c>
      <c r="F7" s="12" t="s">
        <v>973</v>
      </c>
    </row>
    <row r="8" customFormat="false" ht="15" hidden="false" customHeight="false" outlineLevel="0" collapsed="false">
      <c r="A8" s="16" t="n">
        <v>45838</v>
      </c>
      <c r="B8" s="13" t="s">
        <v>86</v>
      </c>
      <c r="C8" s="12" t="s">
        <v>22</v>
      </c>
      <c r="D8" s="20" t="n">
        <v>420</v>
      </c>
      <c r="E8" s="12" t="s">
        <v>1242</v>
      </c>
      <c r="F8" s="12" t="s">
        <v>973</v>
      </c>
    </row>
    <row r="9" customFormat="false" ht="15" hidden="false" customHeight="false" outlineLevel="0" collapsed="false">
      <c r="A9" s="16" t="n">
        <v>45838</v>
      </c>
      <c r="B9" s="13" t="s">
        <v>71</v>
      </c>
      <c r="C9" s="12" t="s">
        <v>22</v>
      </c>
      <c r="D9" s="20" t="n">
        <v>420</v>
      </c>
      <c r="E9" s="12" t="s">
        <v>1242</v>
      </c>
      <c r="F9" s="12" t="s">
        <v>973</v>
      </c>
    </row>
    <row r="10" customFormat="false" ht="15" hidden="false" customHeight="false" outlineLevel="0" collapsed="false">
      <c r="A10" s="16" t="n">
        <v>45838</v>
      </c>
      <c r="B10" s="13" t="s">
        <v>78</v>
      </c>
      <c r="C10" s="12" t="s">
        <v>22</v>
      </c>
      <c r="D10" s="20" t="n">
        <v>384</v>
      </c>
      <c r="E10" s="12" t="s">
        <v>1242</v>
      </c>
      <c r="F10" s="12" t="s">
        <v>973</v>
      </c>
    </row>
    <row r="11" customFormat="false" ht="15" hidden="false" customHeight="false" outlineLevel="0" collapsed="false">
      <c r="A11" s="16" t="n">
        <v>45838</v>
      </c>
      <c r="B11" s="13" t="s">
        <v>82</v>
      </c>
      <c r="C11" s="12" t="s">
        <v>22</v>
      </c>
      <c r="D11" s="20" t="n">
        <v>451</v>
      </c>
      <c r="E11" s="12" t="s">
        <v>1242</v>
      </c>
      <c r="F11" s="12" t="s">
        <v>973</v>
      </c>
    </row>
    <row r="12" customFormat="false" ht="15" hidden="false" customHeight="false" outlineLevel="0" collapsed="false">
      <c r="A12" s="16" t="n">
        <v>45881</v>
      </c>
      <c r="B12" s="13" t="s">
        <v>99</v>
      </c>
      <c r="C12" s="12" t="s">
        <v>22</v>
      </c>
      <c r="D12" s="20" t="n">
        <v>300</v>
      </c>
      <c r="E12" s="12" t="s">
        <v>1242</v>
      </c>
      <c r="F12" s="12" t="s">
        <v>976</v>
      </c>
    </row>
    <row r="13" customFormat="false" ht="15" hidden="false" customHeight="false" outlineLevel="0" collapsed="false">
      <c r="A13" s="16" t="n">
        <v>45881</v>
      </c>
      <c r="B13" s="13" t="s">
        <v>100</v>
      </c>
      <c r="C13" s="12" t="s">
        <v>22</v>
      </c>
      <c r="D13" s="20" t="n">
        <v>270</v>
      </c>
      <c r="E13" s="12" t="s">
        <v>1242</v>
      </c>
      <c r="F13" s="12" t="s">
        <v>976</v>
      </c>
    </row>
    <row r="14" customFormat="false" ht="15" hidden="false" customHeight="false" outlineLevel="0" collapsed="false">
      <c r="A14" s="16" t="n">
        <v>46217</v>
      </c>
      <c r="B14" s="13" t="s">
        <v>431</v>
      </c>
      <c r="C14" s="12" t="s">
        <v>24</v>
      </c>
      <c r="D14" s="20" t="n">
        <v>28</v>
      </c>
      <c r="E14" s="12" t="s">
        <v>1242</v>
      </c>
      <c r="F14" s="12" t="s">
        <v>1072</v>
      </c>
    </row>
    <row r="15" customFormat="false" ht="15" hidden="false" customHeight="false" outlineLevel="0" collapsed="false">
      <c r="A15" s="16" t="n">
        <v>46252</v>
      </c>
      <c r="B15" s="13" t="s">
        <v>247</v>
      </c>
      <c r="C15" s="12" t="s">
        <v>23</v>
      </c>
      <c r="D15" s="20" t="n">
        <v>25.4</v>
      </c>
      <c r="E15" s="12" t="s">
        <v>1242</v>
      </c>
      <c r="F15" s="12" t="s">
        <v>1074</v>
      </c>
    </row>
    <row r="16" customFormat="false" ht="15" hidden="false" customHeight="false" outlineLevel="0" collapsed="false">
      <c r="A16" s="16" t="n">
        <v>46252</v>
      </c>
      <c r="B16" s="13" t="s">
        <v>276</v>
      </c>
      <c r="C16" s="12" t="s">
        <v>23</v>
      </c>
      <c r="D16" s="20" t="n">
        <v>25.4</v>
      </c>
      <c r="E16" s="12" t="s">
        <v>1242</v>
      </c>
      <c r="F16" s="12" t="s">
        <v>1074</v>
      </c>
    </row>
    <row r="17" customFormat="false" ht="15" hidden="false" customHeight="false" outlineLevel="0" collapsed="false">
      <c r="A17" s="16" t="n">
        <v>46252</v>
      </c>
      <c r="B17" s="13" t="s">
        <v>251</v>
      </c>
      <c r="C17" s="12" t="s">
        <v>23</v>
      </c>
      <c r="D17" s="20" t="n">
        <v>25.4</v>
      </c>
      <c r="E17" s="12" t="s">
        <v>1242</v>
      </c>
      <c r="F17" s="12" t="s">
        <v>1074</v>
      </c>
    </row>
    <row r="18" customFormat="false" ht="15" hidden="false" customHeight="false" outlineLevel="0" collapsed="false">
      <c r="A18" s="16" t="n">
        <v>46252</v>
      </c>
      <c r="B18" s="13" t="s">
        <v>274</v>
      </c>
      <c r="C18" s="12" t="s">
        <v>23</v>
      </c>
      <c r="D18" s="20" t="n">
        <v>25.4</v>
      </c>
      <c r="E18" s="12" t="s">
        <v>1242</v>
      </c>
      <c r="F18" s="12" t="s">
        <v>1074</v>
      </c>
    </row>
    <row r="19" customFormat="false" ht="15" hidden="false" customHeight="false" outlineLevel="0" collapsed="false">
      <c r="A19" s="16" t="n">
        <v>46252</v>
      </c>
      <c r="B19" s="13" t="s">
        <v>259</v>
      </c>
      <c r="C19" s="12" t="s">
        <v>23</v>
      </c>
      <c r="D19" s="20" t="n">
        <v>25.4</v>
      </c>
      <c r="E19" s="12" t="s">
        <v>1242</v>
      </c>
      <c r="F19" s="12" t="s">
        <v>1074</v>
      </c>
    </row>
    <row r="20" customFormat="false" ht="15" hidden="false" customHeight="false" outlineLevel="0" collapsed="false">
      <c r="A20" s="16" t="n">
        <v>46252</v>
      </c>
      <c r="B20" s="13" t="s">
        <v>260</v>
      </c>
      <c r="C20" s="12" t="s">
        <v>23</v>
      </c>
      <c r="D20" s="20" t="n">
        <v>25.4</v>
      </c>
      <c r="E20" s="12" t="s">
        <v>1242</v>
      </c>
      <c r="F20" s="12" t="s">
        <v>1074</v>
      </c>
    </row>
    <row r="21" customFormat="false" ht="15" hidden="false" customHeight="false" outlineLevel="0" collapsed="false">
      <c r="A21" s="16" t="n">
        <v>46252</v>
      </c>
      <c r="B21" s="13" t="s">
        <v>253</v>
      </c>
      <c r="C21" s="12" t="s">
        <v>23</v>
      </c>
      <c r="D21" s="20" t="n">
        <v>25.4</v>
      </c>
      <c r="E21" s="12" t="s">
        <v>1242</v>
      </c>
      <c r="F21" s="12" t="s">
        <v>1074</v>
      </c>
    </row>
  </sheetData>
  <autoFilter ref="A1:F2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50"/>
    <col collapsed="false" customWidth="true" hidden="false" outlineLevel="0" max="4" min="4" style="0" width="34"/>
    <col collapsed="false" customWidth="true" hidden="false" outlineLevel="0" max="6" min="5" style="0" width="60"/>
    <col collapsed="false" customWidth="true" hidden="false" outlineLevel="0" max="7" min="7" style="0" width="50"/>
  </cols>
  <sheetData>
    <row r="1" customFormat="false" ht="15" hidden="false" customHeight="false" outlineLevel="0" collapsed="false">
      <c r="A1" s="10" t="s">
        <v>1084</v>
      </c>
      <c r="B1" s="10" t="s">
        <v>1243</v>
      </c>
      <c r="C1" s="10" t="s">
        <v>1244</v>
      </c>
      <c r="D1" s="10" t="s">
        <v>1245</v>
      </c>
      <c r="E1" s="10" t="s">
        <v>1246</v>
      </c>
    </row>
    <row r="2" customFormat="false" ht="15" hidden="false" customHeight="false" outlineLevel="0" collapsed="false">
      <c r="A2" s="11" t="s">
        <v>1084</v>
      </c>
      <c r="B2" s="11" t="s">
        <v>1247</v>
      </c>
      <c r="C2" s="11" t="s">
        <v>1248</v>
      </c>
      <c r="D2" s="12" t="s">
        <v>1249</v>
      </c>
      <c r="E2" s="12" t="s">
        <v>34</v>
      </c>
    </row>
    <row r="3" customFormat="false" ht="15" hidden="false" customHeight="false" outlineLevel="0" collapsed="false">
      <c r="A3" s="11" t="s">
        <v>1250</v>
      </c>
      <c r="B3" s="11" t="s">
        <v>1251</v>
      </c>
      <c r="C3" s="11" t="s">
        <v>1252</v>
      </c>
      <c r="D3" s="12" t="s">
        <v>1253</v>
      </c>
      <c r="E3" s="12" t="s">
        <v>1254</v>
      </c>
    </row>
    <row r="4" customFormat="false" ht="15" hidden="false" customHeight="false" outlineLevel="0" collapsed="false">
      <c r="A4" s="11" t="s">
        <v>1255</v>
      </c>
      <c r="B4" s="11" t="s">
        <v>1256</v>
      </c>
      <c r="C4" s="11" t="s">
        <v>1257</v>
      </c>
      <c r="D4" s="12" t="s">
        <v>1258</v>
      </c>
      <c r="E4" s="12" t="s">
        <v>1254</v>
      </c>
    </row>
    <row r="5" customFormat="false" ht="15" hidden="false" customHeight="false" outlineLevel="0" collapsed="false">
      <c r="A5" s="11" t="s">
        <v>1097</v>
      </c>
      <c r="B5" s="11" t="s">
        <v>1259</v>
      </c>
      <c r="C5" s="11" t="s">
        <v>1260</v>
      </c>
      <c r="D5" s="12" t="s">
        <v>1261</v>
      </c>
      <c r="E5" s="12" t="s">
        <v>1262</v>
      </c>
    </row>
    <row r="6" customFormat="false" ht="15" hidden="false" customHeight="false" outlineLevel="0" collapsed="false">
      <c r="A6" s="11" t="s">
        <v>1206</v>
      </c>
      <c r="B6" s="11" t="s">
        <v>1263</v>
      </c>
      <c r="C6" s="11" t="s">
        <v>1263</v>
      </c>
      <c r="D6" s="12" t="s">
        <v>1264</v>
      </c>
      <c r="E6" s="12" t="s">
        <v>1265</v>
      </c>
    </row>
    <row r="7" customFormat="false" ht="15" hidden="false" customHeight="false" outlineLevel="0" collapsed="false">
      <c r="A7" s="11" t="s">
        <v>1266</v>
      </c>
      <c r="B7" s="11" t="s">
        <v>1267</v>
      </c>
      <c r="C7" s="11" t="s">
        <v>1268</v>
      </c>
      <c r="D7" s="12" t="s">
        <v>1269</v>
      </c>
      <c r="E7" s="12" t="s">
        <v>1270</v>
      </c>
    </row>
    <row r="8" customFormat="false" ht="15" hidden="false" customHeight="false" outlineLevel="0" collapsed="false">
      <c r="A8" s="11" t="s">
        <v>1271</v>
      </c>
      <c r="B8" s="11" t="s">
        <v>1272</v>
      </c>
      <c r="C8" s="11" t="s">
        <v>1273</v>
      </c>
      <c r="D8" s="12" t="s">
        <v>1274</v>
      </c>
      <c r="E8" s="12" t="s">
        <v>1275</v>
      </c>
    </row>
    <row r="9" customFormat="false" ht="15" hidden="false" customHeight="false" outlineLevel="0" collapsed="false">
      <c r="A9" s="11" t="s">
        <v>1276</v>
      </c>
      <c r="B9" s="11" t="s">
        <v>1277</v>
      </c>
      <c r="C9" s="11" t="s">
        <v>1278</v>
      </c>
      <c r="D9" s="12" t="s">
        <v>1279</v>
      </c>
      <c r="E9" s="12" t="s">
        <v>1280</v>
      </c>
    </row>
    <row r="10" customFormat="false" ht="15" hidden="false" customHeight="false" outlineLevel="0" collapsed="false">
      <c r="A10" s="11" t="s">
        <v>1281</v>
      </c>
      <c r="B10" s="11" t="s">
        <v>1282</v>
      </c>
      <c r="C10" s="11" t="s">
        <v>1282</v>
      </c>
      <c r="D10" s="12" t="s">
        <v>1264</v>
      </c>
      <c r="E10" s="12" t="s">
        <v>1283</v>
      </c>
    </row>
    <row r="11" customFormat="false" ht="15" hidden="false" customHeight="false" outlineLevel="0" collapsed="false">
      <c r="A11" s="11" t="s">
        <v>1284</v>
      </c>
      <c r="B11" s="11" t="s">
        <v>1282</v>
      </c>
      <c r="C11" s="11" t="s">
        <v>1282</v>
      </c>
      <c r="D11" s="12" t="s">
        <v>1264</v>
      </c>
      <c r="E11" s="12" t="s">
        <v>1265</v>
      </c>
    </row>
    <row r="12" customFormat="false" ht="15" hidden="false" customHeight="false" outlineLevel="0" collapsed="false">
      <c r="A12" s="11" t="s">
        <v>1285</v>
      </c>
      <c r="B12" s="11" t="s">
        <v>1286</v>
      </c>
      <c r="C12" s="11" t="s">
        <v>1286</v>
      </c>
      <c r="D12" s="12" t="s">
        <v>1264</v>
      </c>
      <c r="E12" s="12" t="s">
        <v>1265</v>
      </c>
    </row>
    <row r="13" customFormat="false" ht="15" hidden="false" customHeight="false" outlineLevel="0" collapsed="false">
      <c r="A13" s="11" t="s">
        <v>1287</v>
      </c>
      <c r="B13" s="11" t="s">
        <v>1288</v>
      </c>
      <c r="C13" s="11" t="s">
        <v>1289</v>
      </c>
      <c r="D13" s="12" t="s">
        <v>1290</v>
      </c>
      <c r="E13" s="12" t="s">
        <v>1291</v>
      </c>
    </row>
    <row r="14" customFormat="false" ht="15" hidden="false" customHeight="false" outlineLevel="0" collapsed="false">
      <c r="A14" s="11" t="s">
        <v>1292</v>
      </c>
      <c r="B14" s="11" t="s">
        <v>1293</v>
      </c>
      <c r="C14" s="11" t="s">
        <v>1170</v>
      </c>
      <c r="D14" s="12" t="s">
        <v>1294</v>
      </c>
      <c r="E14" s="12" t="s">
        <v>1295</v>
      </c>
    </row>
    <row r="15" customFormat="false" ht="15" hidden="false" customHeight="false" outlineLevel="0" collapsed="false">
      <c r="A15" s="11" t="s">
        <v>1296</v>
      </c>
      <c r="B15" s="11" t="s">
        <v>1259</v>
      </c>
      <c r="C15" s="11" t="s">
        <v>1297</v>
      </c>
      <c r="D15" s="12" t="s">
        <v>1298</v>
      </c>
      <c r="E15" s="12" t="s">
        <v>1299</v>
      </c>
    </row>
    <row r="16" customFormat="false" ht="15" hidden="false" customHeight="false" outlineLevel="0" collapsed="false">
      <c r="A16" s="11" t="s">
        <v>1118</v>
      </c>
      <c r="B16" s="11" t="s">
        <v>1300</v>
      </c>
      <c r="C16" s="11" t="s">
        <v>1301</v>
      </c>
      <c r="D16" s="12" t="s">
        <v>1302</v>
      </c>
      <c r="E16" s="12" t="s">
        <v>1303</v>
      </c>
    </row>
    <row r="17" customFormat="false" ht="15" hidden="false" customHeight="false" outlineLevel="0" collapsed="false">
      <c r="A17" s="11" t="s">
        <v>1304</v>
      </c>
      <c r="B17" s="11" t="s">
        <v>1305</v>
      </c>
      <c r="C17" s="11" t="s">
        <v>1306</v>
      </c>
      <c r="D17" s="12" t="s">
        <v>1307</v>
      </c>
      <c r="E17" s="12" t="s">
        <v>1303</v>
      </c>
    </row>
    <row r="18" customFormat="false" ht="15" hidden="false" customHeight="false" outlineLevel="0" collapsed="false">
      <c r="A18" s="11" t="s">
        <v>1124</v>
      </c>
      <c r="B18" s="11" t="s">
        <v>1308</v>
      </c>
      <c r="C18" s="11" t="s">
        <v>1309</v>
      </c>
      <c r="D18" s="12" t="s">
        <v>1310</v>
      </c>
      <c r="E18" s="12" t="s">
        <v>1311</v>
      </c>
    </row>
    <row r="19" customFormat="false" ht="15" hidden="false" customHeight="false" outlineLevel="0" collapsed="false">
      <c r="A19" s="11" t="s">
        <v>1312</v>
      </c>
      <c r="B19" s="11" t="s">
        <v>1313</v>
      </c>
      <c r="C19" s="11" t="s">
        <v>1314</v>
      </c>
      <c r="D19" s="12" t="s">
        <v>1315</v>
      </c>
      <c r="E19" s="12" t="s">
        <v>1316</v>
      </c>
    </row>
    <row r="20" customFormat="false" ht="15" hidden="false" customHeight="false" outlineLevel="0" collapsed="false">
      <c r="A20" s="11" t="s">
        <v>1317</v>
      </c>
      <c r="B20" s="11" t="s">
        <v>1318</v>
      </c>
      <c r="C20" s="11" t="s">
        <v>1319</v>
      </c>
      <c r="D20" s="12" t="s">
        <v>1320</v>
      </c>
      <c r="E20" s="12" t="s">
        <v>1321</v>
      </c>
    </row>
    <row r="21" customFormat="false" ht="15" hidden="false" customHeight="false" outlineLevel="0" collapsed="false">
      <c r="A21" s="11" t="s">
        <v>1322</v>
      </c>
      <c r="B21" s="11" t="s">
        <v>1323</v>
      </c>
      <c r="C21" s="11" t="s">
        <v>1323</v>
      </c>
      <c r="D21" s="12" t="s">
        <v>1324</v>
      </c>
      <c r="E21" s="12" t="s">
        <v>1325</v>
      </c>
    </row>
    <row r="23" customFormat="false" ht="15" hidden="false" customHeight="false" outlineLevel="0" collapsed="false">
      <c r="A23" s="9" t="s">
        <v>1326</v>
      </c>
    </row>
    <row r="24" customFormat="false" ht="15" hidden="false" customHeight="false" outlineLevel="0" collapsed="false">
      <c r="A24" s="7" t="s">
        <v>1327</v>
      </c>
      <c r="B24" s="7" t="s">
        <v>642</v>
      </c>
      <c r="C24" s="7" t="s">
        <v>1328</v>
      </c>
      <c r="D24" s="7" t="s">
        <v>1329</v>
      </c>
      <c r="E24" s="7" t="s">
        <v>1330</v>
      </c>
      <c r="F24" s="7" t="s">
        <v>1331</v>
      </c>
      <c r="G24" s="7" t="s">
        <v>1332</v>
      </c>
    </row>
    <row r="25" customFormat="false" ht="15" hidden="false" customHeight="false" outlineLevel="0" collapsed="false">
      <c r="A25" s="11" t="s">
        <v>1333</v>
      </c>
      <c r="B25" s="11" t="s">
        <v>1243</v>
      </c>
      <c r="C25" s="11" t="s">
        <v>1334</v>
      </c>
      <c r="D25" s="11"/>
      <c r="E25" s="11" t="s">
        <v>1335</v>
      </c>
      <c r="F25" s="11" t="s">
        <v>1336</v>
      </c>
      <c r="G25" s="12"/>
    </row>
    <row r="26" customFormat="false" ht="15" hidden="false" customHeight="false" outlineLevel="0" collapsed="false">
      <c r="A26" s="11" t="s">
        <v>1333</v>
      </c>
      <c r="B26" s="11" t="s">
        <v>1337</v>
      </c>
      <c r="C26" s="11"/>
      <c r="D26" s="11" t="s">
        <v>1338</v>
      </c>
      <c r="E26" s="11" t="s">
        <v>1339</v>
      </c>
      <c r="F26" s="11" t="s">
        <v>1340</v>
      </c>
      <c r="G26" s="12"/>
    </row>
    <row r="27" customFormat="false" ht="15" hidden="false" customHeight="false" outlineLevel="0" collapsed="false">
      <c r="A27" s="11" t="s">
        <v>1333</v>
      </c>
      <c r="B27" s="11" t="s">
        <v>1341</v>
      </c>
      <c r="C27" s="11"/>
      <c r="D27" s="11" t="s">
        <v>1342</v>
      </c>
      <c r="E27" s="11" t="s">
        <v>1343</v>
      </c>
      <c r="F27" s="11" t="s">
        <v>1344</v>
      </c>
      <c r="G27" s="12"/>
    </row>
    <row r="28" customFormat="false" ht="15" hidden="false" customHeight="false" outlineLevel="0" collapsed="false">
      <c r="A28" s="11" t="s">
        <v>1333</v>
      </c>
      <c r="B28" s="11" t="s">
        <v>1345</v>
      </c>
      <c r="C28" s="11"/>
      <c r="D28" s="11" t="s">
        <v>1342</v>
      </c>
      <c r="E28" s="11" t="s">
        <v>1346</v>
      </c>
      <c r="F28" s="11" t="s">
        <v>1347</v>
      </c>
      <c r="G28" s="12"/>
    </row>
    <row r="29" customFormat="false" ht="15" hidden="false" customHeight="false" outlineLevel="0" collapsed="false">
      <c r="A29" s="11" t="s">
        <v>1333</v>
      </c>
      <c r="B29" s="11" t="s">
        <v>1345</v>
      </c>
      <c r="C29" s="11"/>
      <c r="D29" s="11" t="s">
        <v>1342</v>
      </c>
      <c r="E29" s="11" t="s">
        <v>1348</v>
      </c>
      <c r="F29" s="11" t="s">
        <v>1349</v>
      </c>
      <c r="G29" s="12"/>
    </row>
    <row r="30" customFormat="false" ht="15" hidden="false" customHeight="false" outlineLevel="0" collapsed="false">
      <c r="A30" s="11" t="s">
        <v>1333</v>
      </c>
      <c r="B30" s="11" t="s">
        <v>1345</v>
      </c>
      <c r="C30" s="11"/>
      <c r="D30" s="11" t="s">
        <v>1342</v>
      </c>
      <c r="E30" s="11" t="s">
        <v>1350</v>
      </c>
      <c r="F30" s="11" t="s">
        <v>1351</v>
      </c>
      <c r="G30" s="12"/>
    </row>
    <row r="31" customFormat="false" ht="15" hidden="false" customHeight="false" outlineLevel="0" collapsed="false">
      <c r="A31" s="11" t="s">
        <v>1333</v>
      </c>
      <c r="B31" s="11" t="s">
        <v>1352</v>
      </c>
      <c r="C31" s="11"/>
      <c r="D31" s="11" t="s">
        <v>1338</v>
      </c>
      <c r="E31" s="11" t="s">
        <v>1353</v>
      </c>
      <c r="F31" s="11" t="s">
        <v>1354</v>
      </c>
      <c r="G31" s="12"/>
    </row>
    <row r="32" customFormat="false" ht="15" hidden="false" customHeight="false" outlineLevel="0" collapsed="false">
      <c r="A32" s="11" t="s">
        <v>1333</v>
      </c>
      <c r="B32" s="11" t="s">
        <v>1352</v>
      </c>
      <c r="C32" s="11"/>
      <c r="D32" s="11" t="s">
        <v>1342</v>
      </c>
      <c r="E32" s="11" t="s">
        <v>1355</v>
      </c>
      <c r="F32" s="11" t="s">
        <v>1356</v>
      </c>
      <c r="G32" s="12"/>
    </row>
    <row r="33" customFormat="false" ht="15" hidden="false" customHeight="false" outlineLevel="0" collapsed="false">
      <c r="A33" s="11" t="s">
        <v>1333</v>
      </c>
      <c r="B33" s="11" t="s">
        <v>1352</v>
      </c>
      <c r="C33" s="11"/>
      <c r="D33" s="11" t="s">
        <v>1342</v>
      </c>
      <c r="E33" s="11" t="s">
        <v>1357</v>
      </c>
      <c r="F33" s="11" t="s">
        <v>1358</v>
      </c>
      <c r="G33" s="12"/>
    </row>
    <row r="34" customFormat="false" ht="15" hidden="false" customHeight="false" outlineLevel="0" collapsed="false">
      <c r="A34" s="11" t="s">
        <v>1333</v>
      </c>
      <c r="B34" s="11" t="s">
        <v>1359</v>
      </c>
      <c r="C34" s="11"/>
      <c r="D34" s="11"/>
      <c r="E34" s="11" t="s">
        <v>1360</v>
      </c>
      <c r="F34" s="11" t="s">
        <v>1361</v>
      </c>
      <c r="G34" s="12" t="s">
        <v>1362</v>
      </c>
    </row>
    <row r="35" customFormat="false" ht="15" hidden="false" customHeight="false" outlineLevel="0" collapsed="false">
      <c r="A35" s="11" t="s">
        <v>1333</v>
      </c>
      <c r="B35" s="11" t="s">
        <v>1363</v>
      </c>
      <c r="C35" s="11"/>
      <c r="D35" s="11" t="s">
        <v>1342</v>
      </c>
      <c r="E35" s="11" t="s">
        <v>1364</v>
      </c>
      <c r="F35" s="11"/>
      <c r="G35" s="12"/>
    </row>
    <row r="36" customFormat="false" ht="15" hidden="false" customHeight="false" outlineLevel="0" collapsed="false">
      <c r="A36" s="11" t="s">
        <v>1333</v>
      </c>
      <c r="B36" s="11" t="s">
        <v>1365</v>
      </c>
      <c r="C36" s="11"/>
      <c r="D36" s="11" t="s">
        <v>1342</v>
      </c>
      <c r="E36" s="11" t="s">
        <v>1366</v>
      </c>
      <c r="F36" s="11" t="s">
        <v>1367</v>
      </c>
      <c r="G36" s="12" t="s">
        <v>1368</v>
      </c>
    </row>
    <row r="37" customFormat="false" ht="15" hidden="false" customHeight="false" outlineLevel="0" collapsed="false">
      <c r="A37" s="11" t="s">
        <v>1333</v>
      </c>
      <c r="B37" s="11" t="s">
        <v>1369</v>
      </c>
      <c r="C37" s="11"/>
      <c r="D37" s="11" t="s">
        <v>1342</v>
      </c>
      <c r="E37" s="11" t="s">
        <v>1338</v>
      </c>
      <c r="F37" s="11" t="s">
        <v>1370</v>
      </c>
      <c r="G37" s="12"/>
    </row>
    <row r="38" customFormat="false" ht="15" hidden="false" customHeight="false" outlineLevel="0" collapsed="false">
      <c r="A38" s="11" t="s">
        <v>1333</v>
      </c>
      <c r="B38" s="11" t="s">
        <v>1371</v>
      </c>
      <c r="C38" s="11"/>
      <c r="D38" s="11" t="s">
        <v>1338</v>
      </c>
      <c r="E38" s="11"/>
      <c r="F38" s="11" t="s">
        <v>1372</v>
      </c>
      <c r="G38" s="12"/>
    </row>
    <row r="39" customFormat="false" ht="15" hidden="false" customHeight="false" outlineLevel="0" collapsed="false">
      <c r="A39" s="11" t="s">
        <v>1333</v>
      </c>
      <c r="B39" s="11" t="s">
        <v>1373</v>
      </c>
      <c r="C39" s="11" t="s">
        <v>1374</v>
      </c>
      <c r="D39" s="11"/>
      <c r="E39" s="11" t="s">
        <v>1375</v>
      </c>
      <c r="F39" s="11" t="s">
        <v>1376</v>
      </c>
      <c r="G39" s="12"/>
    </row>
    <row r="40" customFormat="false" ht="15" hidden="false" customHeight="false" outlineLevel="0" collapsed="false">
      <c r="A40" s="11" t="s">
        <v>1333</v>
      </c>
      <c r="B40" s="11" t="s">
        <v>1373</v>
      </c>
      <c r="C40" s="11"/>
      <c r="D40" s="11" t="s">
        <v>1338</v>
      </c>
      <c r="E40" s="11" t="s">
        <v>1377</v>
      </c>
      <c r="F40" s="11" t="s">
        <v>1378</v>
      </c>
      <c r="G40" s="12"/>
    </row>
    <row r="41" customFormat="false" ht="15" hidden="false" customHeight="false" outlineLevel="0" collapsed="false">
      <c r="A41" s="11" t="s">
        <v>1333</v>
      </c>
      <c r="B41" s="11" t="s">
        <v>1379</v>
      </c>
      <c r="C41" s="11"/>
      <c r="D41" s="11"/>
      <c r="E41" s="11"/>
      <c r="F41" s="11" t="s">
        <v>1380</v>
      </c>
      <c r="G41" s="12" t="s">
        <v>1381</v>
      </c>
    </row>
    <row r="42" customFormat="false" ht="15" hidden="false" customHeight="false" outlineLevel="0" collapsed="false">
      <c r="A42" s="11" t="s">
        <v>1255</v>
      </c>
      <c r="B42" s="11" t="s">
        <v>1243</v>
      </c>
      <c r="C42" s="11" t="s">
        <v>1382</v>
      </c>
      <c r="D42" s="11"/>
      <c r="E42" s="11" t="s">
        <v>1383</v>
      </c>
      <c r="F42" s="11" t="s">
        <v>1336</v>
      </c>
      <c r="G42" s="12"/>
    </row>
    <row r="43" customFormat="false" ht="15" hidden="false" customHeight="false" outlineLevel="0" collapsed="false">
      <c r="A43" s="11" t="s">
        <v>1255</v>
      </c>
      <c r="B43" s="11" t="s">
        <v>1384</v>
      </c>
      <c r="C43" s="11"/>
      <c r="D43" s="11" t="s">
        <v>1385</v>
      </c>
      <c r="E43" s="11" t="s">
        <v>1338</v>
      </c>
      <c r="F43" s="11" t="s">
        <v>1386</v>
      </c>
      <c r="G43" s="12"/>
    </row>
    <row r="44" customFormat="false" ht="15" hidden="false" customHeight="false" outlineLevel="0" collapsed="false">
      <c r="A44" s="11" t="s">
        <v>1255</v>
      </c>
      <c r="B44" s="11" t="s">
        <v>1337</v>
      </c>
      <c r="C44" s="11"/>
      <c r="D44" s="11" t="s">
        <v>1338</v>
      </c>
      <c r="E44" s="11"/>
      <c r="F44" s="11" t="s">
        <v>1387</v>
      </c>
      <c r="G44" s="12"/>
    </row>
    <row r="45" customFormat="false" ht="15" hidden="false" customHeight="false" outlineLevel="0" collapsed="false">
      <c r="A45" s="11" t="s">
        <v>1255</v>
      </c>
      <c r="B45" s="11" t="s">
        <v>1379</v>
      </c>
      <c r="C45" s="11"/>
      <c r="D45" s="11"/>
      <c r="E45" s="11"/>
      <c r="F45" s="11" t="s">
        <v>1388</v>
      </c>
      <c r="G45" s="12"/>
    </row>
    <row r="46" customFormat="false" ht="15" hidden="false" customHeight="false" outlineLevel="0" collapsed="false">
      <c r="A46" s="11" t="s">
        <v>1097</v>
      </c>
      <c r="B46" s="11" t="s">
        <v>1243</v>
      </c>
      <c r="C46" s="11" t="s">
        <v>1389</v>
      </c>
      <c r="D46" s="11"/>
      <c r="E46" s="11" t="s">
        <v>1390</v>
      </c>
      <c r="F46" s="11" t="s">
        <v>1391</v>
      </c>
      <c r="G46" s="12"/>
    </row>
    <row r="47" customFormat="false" ht="15" hidden="false" customHeight="false" outlineLevel="0" collapsed="false">
      <c r="A47" s="11" t="s">
        <v>1097</v>
      </c>
      <c r="B47" s="11" t="s">
        <v>1384</v>
      </c>
      <c r="C47" s="11"/>
      <c r="D47" s="11" t="s">
        <v>1392</v>
      </c>
      <c r="E47" s="11" t="s">
        <v>1393</v>
      </c>
      <c r="F47" s="11" t="s">
        <v>1394</v>
      </c>
      <c r="G47" s="12"/>
    </row>
    <row r="48" customFormat="false" ht="15" hidden="false" customHeight="false" outlineLevel="0" collapsed="false">
      <c r="A48" s="11" t="s">
        <v>1097</v>
      </c>
      <c r="B48" s="11" t="s">
        <v>1337</v>
      </c>
      <c r="C48" s="11"/>
      <c r="D48" s="11" t="s">
        <v>1342</v>
      </c>
      <c r="E48" s="11" t="s">
        <v>1395</v>
      </c>
      <c r="F48" s="11" t="s">
        <v>1396</v>
      </c>
      <c r="G48" s="12"/>
    </row>
    <row r="49" customFormat="false" ht="15" hidden="false" customHeight="false" outlineLevel="0" collapsed="false">
      <c r="A49" s="11" t="s">
        <v>1097</v>
      </c>
      <c r="B49" s="11" t="s">
        <v>1337</v>
      </c>
      <c r="C49" s="11"/>
      <c r="D49" s="11" t="s">
        <v>1338</v>
      </c>
      <c r="E49" s="11" t="s">
        <v>1397</v>
      </c>
      <c r="F49" s="11" t="s">
        <v>1398</v>
      </c>
      <c r="G49" s="12"/>
    </row>
    <row r="50" customFormat="false" ht="15" hidden="false" customHeight="false" outlineLevel="0" collapsed="false">
      <c r="A50" s="11" t="s">
        <v>1097</v>
      </c>
      <c r="B50" s="11" t="s">
        <v>1337</v>
      </c>
      <c r="C50" s="11"/>
      <c r="D50" s="11" t="s">
        <v>1399</v>
      </c>
      <c r="E50" s="11" t="s">
        <v>1400</v>
      </c>
      <c r="F50" s="11" t="s">
        <v>1401</v>
      </c>
      <c r="G50" s="12" t="s">
        <v>1402</v>
      </c>
    </row>
    <row r="51" customFormat="false" ht="15" hidden="false" customHeight="false" outlineLevel="0" collapsed="false">
      <c r="A51" s="11" t="s">
        <v>1097</v>
      </c>
      <c r="B51" s="11" t="s">
        <v>1403</v>
      </c>
      <c r="C51" s="11"/>
      <c r="D51" s="11" t="s">
        <v>1342</v>
      </c>
      <c r="E51" s="11" t="s">
        <v>1404</v>
      </c>
      <c r="F51" s="11" t="s">
        <v>1405</v>
      </c>
      <c r="G51" s="12"/>
    </row>
    <row r="52" customFormat="false" ht="15" hidden="false" customHeight="false" outlineLevel="0" collapsed="false">
      <c r="A52" s="11" t="s">
        <v>1097</v>
      </c>
      <c r="B52" s="11" t="s">
        <v>1406</v>
      </c>
      <c r="C52" s="11"/>
      <c r="D52" s="11" t="s">
        <v>1342</v>
      </c>
      <c r="E52" s="11" t="s">
        <v>1407</v>
      </c>
      <c r="F52" s="11" t="s">
        <v>1408</v>
      </c>
      <c r="G52" s="12"/>
    </row>
    <row r="53" customFormat="false" ht="15" hidden="false" customHeight="false" outlineLevel="0" collapsed="false">
      <c r="A53" s="11" t="s">
        <v>1097</v>
      </c>
      <c r="B53" s="11" t="s">
        <v>1369</v>
      </c>
      <c r="C53" s="11"/>
      <c r="D53" s="11" t="s">
        <v>1409</v>
      </c>
      <c r="E53" s="11" t="s">
        <v>1410</v>
      </c>
      <c r="F53" s="11" t="s">
        <v>1411</v>
      </c>
      <c r="G53" s="12"/>
    </row>
    <row r="54" customFormat="false" ht="15" hidden="false" customHeight="false" outlineLevel="0" collapsed="false">
      <c r="A54" s="11" t="s">
        <v>1097</v>
      </c>
      <c r="B54" s="11" t="s">
        <v>1371</v>
      </c>
      <c r="C54" s="11"/>
      <c r="D54" s="11" t="s">
        <v>1409</v>
      </c>
      <c r="E54" s="11" t="s">
        <v>1412</v>
      </c>
      <c r="F54" s="11" t="s">
        <v>1413</v>
      </c>
      <c r="G54" s="12"/>
    </row>
    <row r="55" customFormat="false" ht="15" hidden="false" customHeight="false" outlineLevel="0" collapsed="false">
      <c r="A55" s="11" t="s">
        <v>1097</v>
      </c>
      <c r="B55" s="11" t="s">
        <v>1414</v>
      </c>
      <c r="C55" s="11"/>
      <c r="D55" s="11" t="s">
        <v>1409</v>
      </c>
      <c r="E55" s="11" t="s">
        <v>1415</v>
      </c>
      <c r="F55" s="11" t="s">
        <v>1416</v>
      </c>
      <c r="G55" s="12"/>
    </row>
    <row r="56" customFormat="false" ht="15" hidden="false" customHeight="false" outlineLevel="0" collapsed="false">
      <c r="A56" s="11" t="s">
        <v>1097</v>
      </c>
      <c r="B56" s="11" t="s">
        <v>1417</v>
      </c>
      <c r="C56" s="11"/>
      <c r="D56" s="11" t="s">
        <v>1342</v>
      </c>
      <c r="E56" s="11" t="s">
        <v>1418</v>
      </c>
      <c r="F56" s="11" t="s">
        <v>1419</v>
      </c>
      <c r="G56" s="12"/>
    </row>
    <row r="57" customFormat="false" ht="15" hidden="false" customHeight="false" outlineLevel="0" collapsed="false">
      <c r="A57" s="11" t="s">
        <v>1097</v>
      </c>
      <c r="B57" s="11" t="s">
        <v>1420</v>
      </c>
      <c r="C57" s="11"/>
      <c r="D57" s="11" t="s">
        <v>1342</v>
      </c>
      <c r="E57" s="11" t="s">
        <v>1421</v>
      </c>
      <c r="F57" s="11" t="s">
        <v>1422</v>
      </c>
      <c r="G57" s="12"/>
    </row>
    <row r="58" customFormat="false" ht="15" hidden="false" customHeight="false" outlineLevel="0" collapsed="false">
      <c r="A58" s="11" t="s">
        <v>1097</v>
      </c>
      <c r="B58" s="11" t="s">
        <v>1423</v>
      </c>
      <c r="C58" s="11"/>
      <c r="D58" s="11" t="s">
        <v>1409</v>
      </c>
      <c r="E58" s="11" t="s">
        <v>1424</v>
      </c>
      <c r="F58" s="11" t="s">
        <v>1425</v>
      </c>
      <c r="G58" s="12"/>
    </row>
    <row r="59" customFormat="false" ht="15" hidden="false" customHeight="false" outlineLevel="0" collapsed="false">
      <c r="A59" s="11" t="s">
        <v>1097</v>
      </c>
      <c r="B59" s="11" t="s">
        <v>1423</v>
      </c>
      <c r="C59" s="11"/>
      <c r="D59" s="11" t="s">
        <v>1409</v>
      </c>
      <c r="E59" s="11" t="s">
        <v>1426</v>
      </c>
      <c r="F59" s="11" t="s">
        <v>1427</v>
      </c>
      <c r="G59" s="12"/>
    </row>
    <row r="60" customFormat="false" ht="15" hidden="false" customHeight="false" outlineLevel="0" collapsed="false">
      <c r="A60" s="11" t="s">
        <v>1097</v>
      </c>
      <c r="B60" s="11" t="s">
        <v>1428</v>
      </c>
      <c r="C60" s="11"/>
      <c r="D60" s="11" t="s">
        <v>1409</v>
      </c>
      <c r="E60" s="11" t="s">
        <v>1429</v>
      </c>
      <c r="F60" s="11" t="s">
        <v>1430</v>
      </c>
      <c r="G60" s="12"/>
    </row>
    <row r="61" customFormat="false" ht="15" hidden="false" customHeight="false" outlineLevel="0" collapsed="false">
      <c r="A61" s="11" t="s">
        <v>1097</v>
      </c>
      <c r="B61" s="11" t="s">
        <v>1431</v>
      </c>
      <c r="C61" s="11"/>
      <c r="D61" s="11" t="s">
        <v>1409</v>
      </c>
      <c r="E61" s="11" t="s">
        <v>1432</v>
      </c>
      <c r="F61" s="11" t="s">
        <v>1411</v>
      </c>
      <c r="G61" s="12"/>
    </row>
    <row r="62" customFormat="false" ht="15" hidden="false" customHeight="false" outlineLevel="0" collapsed="false">
      <c r="A62" s="11" t="s">
        <v>1097</v>
      </c>
      <c r="B62" s="11" t="s">
        <v>1431</v>
      </c>
      <c r="C62" s="11"/>
      <c r="D62" s="11" t="s">
        <v>1433</v>
      </c>
      <c r="E62" s="11" t="s">
        <v>1434</v>
      </c>
      <c r="F62" s="11" t="s">
        <v>1435</v>
      </c>
      <c r="G62" s="12"/>
    </row>
    <row r="63" customFormat="false" ht="15" hidden="false" customHeight="false" outlineLevel="0" collapsed="false">
      <c r="A63" s="11" t="s">
        <v>1097</v>
      </c>
      <c r="B63" s="11" t="s">
        <v>1436</v>
      </c>
      <c r="C63" s="11"/>
      <c r="D63" s="11" t="s">
        <v>1409</v>
      </c>
      <c r="E63" s="11" t="s">
        <v>1437</v>
      </c>
      <c r="F63" s="11" t="s">
        <v>1438</v>
      </c>
      <c r="G63" s="12"/>
    </row>
    <row r="64" customFormat="false" ht="15" hidden="false" customHeight="false" outlineLevel="0" collapsed="false">
      <c r="A64" s="11" t="s">
        <v>1097</v>
      </c>
      <c r="B64" s="11" t="s">
        <v>1439</v>
      </c>
      <c r="C64" s="11"/>
      <c r="D64" s="11" t="s">
        <v>1338</v>
      </c>
      <c r="E64" s="11" t="s">
        <v>1440</v>
      </c>
      <c r="F64" s="11" t="s">
        <v>1441</v>
      </c>
      <c r="G64" s="12"/>
    </row>
    <row r="65" customFormat="false" ht="15" hidden="false" customHeight="false" outlineLevel="0" collapsed="false">
      <c r="A65" s="11" t="s">
        <v>1097</v>
      </c>
      <c r="B65" s="11" t="s">
        <v>1442</v>
      </c>
      <c r="C65" s="11"/>
      <c r="D65" s="11" t="s">
        <v>1443</v>
      </c>
      <c r="E65" s="11" t="s">
        <v>1444</v>
      </c>
      <c r="F65" s="11" t="s">
        <v>1445</v>
      </c>
      <c r="G65" s="12"/>
    </row>
    <row r="66" customFormat="false" ht="15" hidden="false" customHeight="false" outlineLevel="0" collapsed="false">
      <c r="A66" s="11" t="s">
        <v>1097</v>
      </c>
      <c r="B66" s="11" t="s">
        <v>1446</v>
      </c>
      <c r="C66" s="11"/>
      <c r="D66" s="11" t="s">
        <v>1433</v>
      </c>
      <c r="E66" s="11" t="s">
        <v>1447</v>
      </c>
      <c r="F66" s="11" t="s">
        <v>1448</v>
      </c>
      <c r="G66" s="12"/>
    </row>
    <row r="67" customFormat="false" ht="15" hidden="false" customHeight="false" outlineLevel="0" collapsed="false">
      <c r="A67" s="11" t="s">
        <v>1449</v>
      </c>
      <c r="B67" s="11" t="s">
        <v>1450</v>
      </c>
      <c r="C67" s="11"/>
      <c r="D67" s="11"/>
      <c r="E67" s="11"/>
      <c r="F67" s="11" t="s">
        <v>1451</v>
      </c>
      <c r="G67" s="12"/>
    </row>
    <row r="68" customFormat="false" ht="15" hidden="false" customHeight="false" outlineLevel="0" collapsed="false">
      <c r="A68" s="11" t="s">
        <v>1449</v>
      </c>
      <c r="B68" s="11" t="s">
        <v>1450</v>
      </c>
      <c r="C68" s="11"/>
      <c r="D68" s="11" t="s">
        <v>1409</v>
      </c>
      <c r="E68" s="11" t="s">
        <v>1452</v>
      </c>
      <c r="F68" s="11"/>
      <c r="G68" s="12"/>
    </row>
    <row r="69" customFormat="false" ht="15" hidden="false" customHeight="false" outlineLevel="0" collapsed="false">
      <c r="A69" s="11" t="s">
        <v>1449</v>
      </c>
      <c r="B69" s="11" t="s">
        <v>1453</v>
      </c>
      <c r="C69" s="11"/>
      <c r="D69" s="11" t="s">
        <v>1454</v>
      </c>
      <c r="E69" s="11" t="s">
        <v>1455</v>
      </c>
      <c r="F69" s="11"/>
      <c r="G69" s="12"/>
    </row>
    <row r="70" customFormat="false" ht="15" hidden="false" customHeight="false" outlineLevel="0" collapsed="false">
      <c r="A70" s="11" t="s">
        <v>1449</v>
      </c>
      <c r="B70" s="11" t="s">
        <v>1456</v>
      </c>
      <c r="C70" s="11"/>
      <c r="D70" s="11" t="s">
        <v>1457</v>
      </c>
      <c r="E70" s="11" t="s">
        <v>1458</v>
      </c>
      <c r="F70" s="11"/>
      <c r="G70" s="12"/>
    </row>
    <row r="71" customFormat="false" ht="15" hidden="false" customHeight="false" outlineLevel="0" collapsed="false">
      <c r="A71" s="11" t="s">
        <v>1449</v>
      </c>
      <c r="B71" s="11" t="s">
        <v>1459</v>
      </c>
      <c r="C71" s="11"/>
      <c r="D71" s="11" t="s">
        <v>1409</v>
      </c>
      <c r="E71" s="11" t="s">
        <v>1460</v>
      </c>
      <c r="F71" s="11"/>
      <c r="G71" s="12"/>
    </row>
    <row r="72" customFormat="false" ht="15" hidden="false" customHeight="false" outlineLevel="0" collapsed="false">
      <c r="A72" s="11" t="s">
        <v>1449</v>
      </c>
      <c r="B72" s="11" t="s">
        <v>1461</v>
      </c>
      <c r="C72" s="11"/>
      <c r="D72" s="11" t="s">
        <v>1457</v>
      </c>
      <c r="E72" s="11" t="s">
        <v>1462</v>
      </c>
      <c r="F72" s="11"/>
      <c r="G72" s="12"/>
    </row>
    <row r="73" customFormat="false" ht="15" hidden="false" customHeight="false" outlineLevel="0" collapsed="false">
      <c r="A73" s="11" t="s">
        <v>1449</v>
      </c>
      <c r="B73" s="11" t="s">
        <v>1463</v>
      </c>
      <c r="C73" s="11"/>
      <c r="D73" s="11" t="s">
        <v>1409</v>
      </c>
      <c r="E73" s="11" t="s">
        <v>1464</v>
      </c>
      <c r="F73" s="11"/>
      <c r="G73" s="12"/>
    </row>
    <row r="74" customFormat="false" ht="15" hidden="false" customHeight="false" outlineLevel="0" collapsed="false">
      <c r="A74" s="11" t="s">
        <v>1449</v>
      </c>
      <c r="B74" s="11" t="s">
        <v>1465</v>
      </c>
      <c r="C74" s="11" t="s">
        <v>1466</v>
      </c>
      <c r="D74" s="11"/>
      <c r="E74" s="11" t="s">
        <v>1464</v>
      </c>
      <c r="F74" s="11" t="s">
        <v>1467</v>
      </c>
      <c r="G74" s="12"/>
    </row>
    <row r="75" customFormat="false" ht="15" hidden="false" customHeight="false" outlineLevel="0" collapsed="false">
      <c r="A75" s="11" t="s">
        <v>1449</v>
      </c>
      <c r="B75" s="11" t="s">
        <v>1468</v>
      </c>
      <c r="C75" s="11"/>
      <c r="D75" s="11" t="s">
        <v>1469</v>
      </c>
      <c r="E75" s="11" t="s">
        <v>1470</v>
      </c>
      <c r="F75" s="11"/>
      <c r="G75" s="12"/>
    </row>
    <row r="76" customFormat="false" ht="15" hidden="false" customHeight="false" outlineLevel="0" collapsed="false">
      <c r="A76" s="11" t="s">
        <v>1449</v>
      </c>
      <c r="B76" s="11" t="s">
        <v>1471</v>
      </c>
      <c r="C76" s="11"/>
      <c r="D76" s="11" t="s">
        <v>1472</v>
      </c>
      <c r="E76" s="11" t="s">
        <v>1473</v>
      </c>
      <c r="F76" s="11"/>
      <c r="G76" s="12"/>
    </row>
    <row r="77" customFormat="false" ht="15" hidden="false" customHeight="false" outlineLevel="0" collapsed="false">
      <c r="A77" s="11" t="s">
        <v>1449</v>
      </c>
      <c r="B77" s="11" t="s">
        <v>1474</v>
      </c>
      <c r="C77" s="11"/>
      <c r="D77" s="11" t="s">
        <v>1475</v>
      </c>
      <c r="E77" s="11" t="s">
        <v>1476</v>
      </c>
      <c r="F77" s="11"/>
      <c r="G77" s="12"/>
    </row>
    <row r="78" customFormat="false" ht="15" hidden="false" customHeight="false" outlineLevel="0" collapsed="false">
      <c r="A78" s="11" t="s">
        <v>1477</v>
      </c>
      <c r="B78" s="11" t="s">
        <v>1478</v>
      </c>
      <c r="C78" s="11"/>
      <c r="D78" s="11"/>
      <c r="E78" s="11" t="s">
        <v>1479</v>
      </c>
      <c r="F78" s="11" t="s">
        <v>1480</v>
      </c>
      <c r="G78" s="12" t="s">
        <v>1481</v>
      </c>
    </row>
    <row r="79" customFormat="false" ht="15" hidden="false" customHeight="false" outlineLevel="0" collapsed="false">
      <c r="A79" s="11" t="s">
        <v>1266</v>
      </c>
      <c r="B79" s="11" t="s">
        <v>1482</v>
      </c>
      <c r="C79" s="11"/>
      <c r="D79" s="11"/>
      <c r="E79" s="11" t="s">
        <v>1483</v>
      </c>
      <c r="F79" s="11" t="s">
        <v>1484</v>
      </c>
      <c r="G79" s="12"/>
    </row>
    <row r="80" customFormat="false" ht="15" hidden="false" customHeight="false" outlineLevel="0" collapsed="false">
      <c r="A80" s="11" t="s">
        <v>1266</v>
      </c>
      <c r="B80" s="11" t="s">
        <v>1485</v>
      </c>
      <c r="C80" s="11"/>
      <c r="D80" s="11"/>
      <c r="E80" s="11" t="s">
        <v>1486</v>
      </c>
      <c r="F80" s="11"/>
      <c r="G80" s="12" t="s">
        <v>1487</v>
      </c>
    </row>
    <row r="81" customFormat="false" ht="15" hidden="false" customHeight="false" outlineLevel="0" collapsed="false">
      <c r="A81" s="11" t="s">
        <v>1488</v>
      </c>
      <c r="B81" s="11" t="s">
        <v>1384</v>
      </c>
      <c r="C81" s="11" t="s">
        <v>1489</v>
      </c>
      <c r="D81" s="11"/>
      <c r="E81" s="11" t="s">
        <v>1335</v>
      </c>
      <c r="F81" s="11" t="s">
        <v>1490</v>
      </c>
      <c r="G81" s="12"/>
    </row>
    <row r="82" customFormat="false" ht="15" hidden="false" customHeight="false" outlineLevel="0" collapsed="false">
      <c r="A82" s="11" t="s">
        <v>1488</v>
      </c>
      <c r="B82" s="11" t="s">
        <v>1341</v>
      </c>
      <c r="C82" s="11"/>
      <c r="D82" s="11" t="s">
        <v>1469</v>
      </c>
      <c r="E82" s="11" t="s">
        <v>1491</v>
      </c>
      <c r="F82" s="11"/>
      <c r="G82" s="12"/>
    </row>
    <row r="83" customFormat="false" ht="15" hidden="false" customHeight="false" outlineLevel="0" collapsed="false">
      <c r="A83" s="11" t="s">
        <v>1488</v>
      </c>
      <c r="B83" s="11" t="s">
        <v>1492</v>
      </c>
      <c r="C83" s="11"/>
      <c r="D83" s="11" t="s">
        <v>1469</v>
      </c>
      <c r="E83" s="11" t="s">
        <v>1493</v>
      </c>
      <c r="F83" s="11"/>
      <c r="G83" s="12"/>
    </row>
    <row r="84" customFormat="false" ht="15" hidden="false" customHeight="false" outlineLevel="0" collapsed="false">
      <c r="A84" s="11" t="s">
        <v>1488</v>
      </c>
      <c r="B84" s="11" t="s">
        <v>1494</v>
      </c>
      <c r="C84" s="11"/>
      <c r="D84" s="11" t="s">
        <v>1469</v>
      </c>
      <c r="E84" s="11" t="s">
        <v>1495</v>
      </c>
      <c r="F84" s="11"/>
      <c r="G84" s="12"/>
    </row>
    <row r="85" customFormat="false" ht="15" hidden="false" customHeight="false" outlineLevel="0" collapsed="false">
      <c r="A85" s="11" t="s">
        <v>1488</v>
      </c>
      <c r="B85" s="11" t="s">
        <v>1363</v>
      </c>
      <c r="C85" s="11"/>
      <c r="D85" s="11" t="s">
        <v>1469</v>
      </c>
      <c r="E85" s="11" t="s">
        <v>1496</v>
      </c>
      <c r="F85" s="11"/>
      <c r="G85" s="12"/>
    </row>
    <row r="86" customFormat="false" ht="15" hidden="false" customHeight="false" outlineLevel="0" collapsed="false">
      <c r="A86" s="11" t="s">
        <v>1488</v>
      </c>
      <c r="B86" s="11" t="s">
        <v>1365</v>
      </c>
      <c r="C86" s="11"/>
      <c r="D86" s="11" t="s">
        <v>1469</v>
      </c>
      <c r="E86" s="11" t="s">
        <v>1497</v>
      </c>
      <c r="F86" s="11"/>
      <c r="G86" s="12"/>
    </row>
    <row r="87" customFormat="false" ht="15" hidden="false" customHeight="false" outlineLevel="0" collapsed="false">
      <c r="A87" s="11" t="s">
        <v>1488</v>
      </c>
      <c r="B87" s="11" t="s">
        <v>1498</v>
      </c>
      <c r="C87" s="11"/>
      <c r="D87" s="11" t="s">
        <v>1469</v>
      </c>
      <c r="E87" s="11" t="s">
        <v>1499</v>
      </c>
      <c r="F87" s="11"/>
      <c r="G87" s="12"/>
    </row>
    <row r="88" customFormat="false" ht="15" hidden="false" customHeight="false" outlineLevel="0" collapsed="false">
      <c r="A88" s="11" t="s">
        <v>1488</v>
      </c>
      <c r="B88" s="11" t="s">
        <v>1369</v>
      </c>
      <c r="C88" s="11"/>
      <c r="D88" s="11" t="s">
        <v>1475</v>
      </c>
      <c r="E88" s="11" t="s">
        <v>1466</v>
      </c>
      <c r="F88" s="11"/>
      <c r="G88" s="12"/>
    </row>
    <row r="89" customFormat="false" ht="15" hidden="false" customHeight="false" outlineLevel="0" collapsed="false">
      <c r="A89" s="11" t="s">
        <v>1488</v>
      </c>
      <c r="B89" s="11" t="s">
        <v>1500</v>
      </c>
      <c r="C89" s="11" t="s">
        <v>1466</v>
      </c>
      <c r="D89" s="11"/>
      <c r="E89" s="11" t="s">
        <v>1501</v>
      </c>
      <c r="F89" s="11" t="s">
        <v>1467</v>
      </c>
      <c r="G89" s="12"/>
    </row>
    <row r="90" customFormat="false" ht="15" hidden="false" customHeight="false" outlineLevel="0" collapsed="false">
      <c r="A90" s="11" t="s">
        <v>1488</v>
      </c>
      <c r="B90" s="11" t="s">
        <v>1414</v>
      </c>
      <c r="C90" s="11"/>
      <c r="D90" s="11" t="s">
        <v>1469</v>
      </c>
      <c r="E90" s="11" t="s">
        <v>1491</v>
      </c>
      <c r="F90" s="11"/>
      <c r="G90" s="12"/>
    </row>
    <row r="91" customFormat="false" ht="15" hidden="false" customHeight="false" outlineLevel="0" collapsed="false">
      <c r="A91" s="11" t="s">
        <v>1488</v>
      </c>
      <c r="B91" s="11" t="s">
        <v>1417</v>
      </c>
      <c r="C91" s="11"/>
      <c r="D91" s="11" t="s">
        <v>1469</v>
      </c>
      <c r="E91" s="11" t="s">
        <v>1493</v>
      </c>
      <c r="F91" s="11"/>
      <c r="G91" s="12"/>
    </row>
    <row r="92" customFormat="false" ht="15" hidden="false" customHeight="false" outlineLevel="0" collapsed="false">
      <c r="A92" s="11" t="s">
        <v>1488</v>
      </c>
      <c r="B92" s="11" t="s">
        <v>1502</v>
      </c>
      <c r="C92" s="11"/>
      <c r="D92" s="11" t="s">
        <v>1469</v>
      </c>
      <c r="E92" s="11" t="s">
        <v>1495</v>
      </c>
      <c r="F92" s="11"/>
      <c r="G92" s="12"/>
    </row>
    <row r="93" customFormat="false" ht="15" hidden="false" customHeight="false" outlineLevel="0" collapsed="false">
      <c r="A93" s="11" t="s">
        <v>1488</v>
      </c>
      <c r="B93" s="11" t="s">
        <v>1503</v>
      </c>
      <c r="C93" s="11"/>
      <c r="D93" s="11" t="s">
        <v>1469</v>
      </c>
      <c r="E93" s="11" t="s">
        <v>1496</v>
      </c>
      <c r="F93" s="11"/>
      <c r="G93" s="12"/>
    </row>
    <row r="94" customFormat="false" ht="15" hidden="false" customHeight="false" outlineLevel="0" collapsed="false">
      <c r="A94" s="11" t="s">
        <v>1488</v>
      </c>
      <c r="B94" s="11" t="s">
        <v>1439</v>
      </c>
      <c r="C94" s="11"/>
      <c r="D94" s="11" t="s">
        <v>1504</v>
      </c>
      <c r="E94" s="11" t="s">
        <v>1505</v>
      </c>
      <c r="F94" s="11"/>
      <c r="G94" s="12"/>
    </row>
    <row r="95" customFormat="false" ht="15" hidden="false" customHeight="false" outlineLevel="0" collapsed="false">
      <c r="A95" s="11" t="s">
        <v>1488</v>
      </c>
      <c r="B95" s="11" t="s">
        <v>1459</v>
      </c>
      <c r="C95" s="11"/>
      <c r="D95" s="11" t="s">
        <v>1469</v>
      </c>
      <c r="E95" s="11" t="s">
        <v>1506</v>
      </c>
      <c r="F95" s="11"/>
      <c r="G95" s="12"/>
    </row>
    <row r="96" customFormat="false" ht="15" hidden="false" customHeight="false" outlineLevel="0" collapsed="false">
      <c r="A96" s="11" t="s">
        <v>1488</v>
      </c>
      <c r="B96" s="11" t="s">
        <v>1465</v>
      </c>
      <c r="C96" s="11"/>
      <c r="D96" s="11" t="s">
        <v>1469</v>
      </c>
      <c r="E96" s="11" t="s">
        <v>1507</v>
      </c>
      <c r="F96" s="11"/>
      <c r="G96" s="12"/>
    </row>
    <row r="97" customFormat="false" ht="15" hidden="false" customHeight="false" outlineLevel="0" collapsed="false">
      <c r="A97" s="11" t="s">
        <v>1488</v>
      </c>
      <c r="B97" s="11" t="s">
        <v>1508</v>
      </c>
      <c r="C97" s="11"/>
      <c r="D97" s="11" t="s">
        <v>1509</v>
      </c>
      <c r="E97" s="11" t="s">
        <v>1510</v>
      </c>
      <c r="F97" s="11"/>
      <c r="G97" s="12"/>
    </row>
    <row r="98" customFormat="false" ht="15" hidden="false" customHeight="false" outlineLevel="0" collapsed="false">
      <c r="A98" s="11" t="s">
        <v>1488</v>
      </c>
      <c r="B98" s="11" t="s">
        <v>1373</v>
      </c>
      <c r="C98" s="11"/>
      <c r="D98" s="11" t="s">
        <v>1475</v>
      </c>
      <c r="E98" s="11" t="s">
        <v>1511</v>
      </c>
      <c r="F98" s="11"/>
      <c r="G98" s="12"/>
    </row>
    <row r="99" customFormat="false" ht="15" hidden="false" customHeight="false" outlineLevel="0" collapsed="false">
      <c r="A99" s="11" t="s">
        <v>1488</v>
      </c>
      <c r="B99" s="11" t="s">
        <v>1512</v>
      </c>
      <c r="C99" s="11"/>
      <c r="D99" s="11" t="s">
        <v>1475</v>
      </c>
      <c r="E99" s="11" t="s">
        <v>1513</v>
      </c>
      <c r="F99" s="11"/>
      <c r="G99" s="12"/>
    </row>
    <row r="100" customFormat="false" ht="15" hidden="false" customHeight="false" outlineLevel="0" collapsed="false">
      <c r="A100" s="11" t="s">
        <v>1488</v>
      </c>
      <c r="B100" s="11" t="s">
        <v>1514</v>
      </c>
      <c r="C100" s="11"/>
      <c r="D100" s="11" t="s">
        <v>1475</v>
      </c>
      <c r="E100" s="11" t="s">
        <v>1515</v>
      </c>
      <c r="F100" s="11"/>
      <c r="G100" s="12"/>
    </row>
    <row r="101" customFormat="false" ht="15" hidden="false" customHeight="false" outlineLevel="0" collapsed="false">
      <c r="A101" s="11" t="s">
        <v>1488</v>
      </c>
      <c r="B101" s="11" t="s">
        <v>1516</v>
      </c>
      <c r="C101" s="11"/>
      <c r="D101" s="11" t="s">
        <v>1469</v>
      </c>
      <c r="E101" s="11" t="s">
        <v>1517</v>
      </c>
      <c r="F101" s="11"/>
      <c r="G101" s="12"/>
    </row>
    <row r="102" customFormat="false" ht="15" hidden="false" customHeight="false" outlineLevel="0" collapsed="false">
      <c r="A102" s="11" t="s">
        <v>1488</v>
      </c>
      <c r="B102" s="11" t="s">
        <v>1518</v>
      </c>
      <c r="C102" s="11"/>
      <c r="D102" s="11" t="s">
        <v>1469</v>
      </c>
      <c r="E102" s="11" t="s">
        <v>1519</v>
      </c>
      <c r="F102" s="11"/>
      <c r="G102" s="12"/>
    </row>
    <row r="103" customFormat="false" ht="15" hidden="false" customHeight="false" outlineLevel="0" collapsed="false">
      <c r="A103" s="11" t="s">
        <v>1488</v>
      </c>
      <c r="B103" s="11" t="s">
        <v>1520</v>
      </c>
      <c r="C103" s="11"/>
      <c r="D103" s="11" t="s">
        <v>1475</v>
      </c>
      <c r="E103" s="11" t="s">
        <v>1521</v>
      </c>
      <c r="F103" s="11"/>
      <c r="G103" s="12"/>
    </row>
    <row r="104" customFormat="false" ht="15" hidden="false" customHeight="false" outlineLevel="0" collapsed="false">
      <c r="A104" s="11" t="s">
        <v>1488</v>
      </c>
      <c r="B104" s="11" t="s">
        <v>1522</v>
      </c>
      <c r="C104" s="11" t="s">
        <v>1466</v>
      </c>
      <c r="D104" s="11"/>
      <c r="E104" s="11" t="s">
        <v>1523</v>
      </c>
      <c r="F104" s="11" t="s">
        <v>1467</v>
      </c>
      <c r="G104" s="12"/>
    </row>
    <row r="105" customFormat="false" ht="15" hidden="false" customHeight="false" outlineLevel="0" collapsed="false">
      <c r="A105" s="11" t="s">
        <v>1488</v>
      </c>
      <c r="B105" s="11" t="s">
        <v>1524</v>
      </c>
      <c r="C105" s="11"/>
      <c r="D105" s="11" t="s">
        <v>1525</v>
      </c>
      <c r="E105" s="11" t="s">
        <v>1526</v>
      </c>
      <c r="F105" s="11"/>
      <c r="G105" s="12"/>
    </row>
    <row r="106" customFormat="false" ht="15" hidden="false" customHeight="false" outlineLevel="0" collapsed="false">
      <c r="A106" s="11" t="s">
        <v>1488</v>
      </c>
      <c r="B106" s="11" t="s">
        <v>1527</v>
      </c>
      <c r="C106" s="11"/>
      <c r="D106" s="11" t="s">
        <v>1504</v>
      </c>
      <c r="E106" s="11" t="s">
        <v>1528</v>
      </c>
      <c r="F106" s="11"/>
      <c r="G106" s="12"/>
    </row>
    <row r="107" customFormat="false" ht="15" hidden="false" customHeight="false" outlineLevel="0" collapsed="false">
      <c r="A107" s="11" t="s">
        <v>1206</v>
      </c>
      <c r="B107" s="11" t="s">
        <v>1478</v>
      </c>
      <c r="C107" s="11"/>
      <c r="D107" s="11"/>
      <c r="E107" s="11" t="s">
        <v>1529</v>
      </c>
      <c r="F107" s="11" t="s">
        <v>1480</v>
      </c>
      <c r="G107" s="12"/>
    </row>
    <row r="108" customFormat="false" ht="15" hidden="false" customHeight="false" outlineLevel="0" collapsed="false">
      <c r="A108" s="11" t="s">
        <v>1124</v>
      </c>
      <c r="B108" s="11" t="s">
        <v>1530</v>
      </c>
      <c r="C108" s="11" t="s">
        <v>1531</v>
      </c>
      <c r="D108" s="11"/>
      <c r="E108" s="11" t="s">
        <v>1377</v>
      </c>
      <c r="F108" s="11" t="s">
        <v>1532</v>
      </c>
      <c r="G108" s="12"/>
    </row>
    <row r="109" customFormat="false" ht="15" hidden="false" customHeight="false" outlineLevel="0" collapsed="false">
      <c r="A109" s="11" t="s">
        <v>1124</v>
      </c>
      <c r="B109" s="11" t="s">
        <v>1533</v>
      </c>
      <c r="C109" s="11"/>
      <c r="D109" s="11" t="s">
        <v>1475</v>
      </c>
      <c r="E109" s="11" t="s">
        <v>1534</v>
      </c>
      <c r="F109" s="11" t="s">
        <v>1535</v>
      </c>
      <c r="G109" s="12" t="s">
        <v>1536</v>
      </c>
    </row>
    <row r="110" customFormat="false" ht="15" hidden="false" customHeight="false" outlineLevel="0" collapsed="false">
      <c r="A110" s="11" t="s">
        <v>1124</v>
      </c>
      <c r="B110" s="11" t="s">
        <v>1537</v>
      </c>
      <c r="C110" s="11"/>
      <c r="D110" s="11" t="s">
        <v>1475</v>
      </c>
      <c r="E110" s="11" t="s">
        <v>1538</v>
      </c>
      <c r="F110" s="11" t="s">
        <v>1539</v>
      </c>
      <c r="G110" s="12"/>
    </row>
    <row r="111" customFormat="false" ht="15" hidden="false" customHeight="false" outlineLevel="0" collapsed="false">
      <c r="A111" s="11" t="s">
        <v>1124</v>
      </c>
      <c r="B111" s="11" t="s">
        <v>1373</v>
      </c>
      <c r="C111" s="11" t="s">
        <v>1540</v>
      </c>
      <c r="D111" s="11" t="s">
        <v>1538</v>
      </c>
      <c r="E111" s="11" t="s">
        <v>1541</v>
      </c>
      <c r="F111" s="11" t="s">
        <v>1542</v>
      </c>
      <c r="G111" s="12" t="s">
        <v>1536</v>
      </c>
    </row>
    <row r="112" customFormat="false" ht="15" hidden="false" customHeight="false" outlineLevel="0" collapsed="false">
      <c r="A112" s="11" t="s">
        <v>1124</v>
      </c>
      <c r="B112" s="11" t="s">
        <v>1543</v>
      </c>
      <c r="C112" s="11"/>
      <c r="D112" s="11" t="s">
        <v>1475</v>
      </c>
      <c r="E112" s="11" t="s">
        <v>1544</v>
      </c>
      <c r="F112" s="11"/>
      <c r="G112" s="12"/>
    </row>
    <row r="113" customFormat="false" ht="15" hidden="false" customHeight="false" outlineLevel="0" collapsed="false">
      <c r="A113" s="11" t="s">
        <v>1124</v>
      </c>
      <c r="B113" s="11" t="s">
        <v>1545</v>
      </c>
      <c r="C113" s="11"/>
      <c r="D113" s="11" t="s">
        <v>1475</v>
      </c>
      <c r="E113" s="11" t="s">
        <v>1546</v>
      </c>
      <c r="F113" s="11" t="s">
        <v>1547</v>
      </c>
      <c r="G113" s="12" t="s">
        <v>1536</v>
      </c>
    </row>
    <row r="114" customFormat="false" ht="15" hidden="false" customHeight="false" outlineLevel="0" collapsed="false">
      <c r="A114" s="11" t="s">
        <v>1124</v>
      </c>
      <c r="B114" s="11" t="s">
        <v>1548</v>
      </c>
      <c r="C114" s="11"/>
      <c r="D114" s="11"/>
      <c r="E114" s="11" t="s">
        <v>1549</v>
      </c>
      <c r="F114" s="11" t="s">
        <v>1550</v>
      </c>
      <c r="G114" s="12" t="s">
        <v>1551</v>
      </c>
    </row>
    <row r="115" customFormat="false" ht="15" hidden="false" customHeight="false" outlineLevel="0" collapsed="false">
      <c r="A115" s="11" t="s">
        <v>1124</v>
      </c>
      <c r="B115" s="11" t="s">
        <v>1552</v>
      </c>
      <c r="C115" s="11"/>
      <c r="D115" s="11"/>
      <c r="E115" s="11" t="s">
        <v>1553</v>
      </c>
      <c r="F115" s="11"/>
      <c r="G115" s="12" t="s">
        <v>1554</v>
      </c>
    </row>
    <row r="116" customFormat="false" ht="15" hidden="false" customHeight="false" outlineLevel="0" collapsed="false">
      <c r="A116" s="11" t="s">
        <v>1124</v>
      </c>
      <c r="B116" s="11" t="s">
        <v>1555</v>
      </c>
      <c r="C116" s="11"/>
      <c r="D116" s="11"/>
      <c r="E116" s="11"/>
      <c r="F116" s="11"/>
      <c r="G116" s="12"/>
    </row>
    <row r="117" customFormat="false" ht="15" hidden="false" customHeight="false" outlineLevel="0" collapsed="false">
      <c r="A117" s="11" t="s">
        <v>1118</v>
      </c>
      <c r="B117" s="11" t="s">
        <v>1439</v>
      </c>
      <c r="C117" s="11" t="s">
        <v>1466</v>
      </c>
      <c r="D117" s="11"/>
      <c r="E117" s="11" t="s">
        <v>1353</v>
      </c>
      <c r="F117" s="11" t="s">
        <v>1556</v>
      </c>
      <c r="G117" s="12"/>
    </row>
    <row r="118" customFormat="false" ht="15" hidden="false" customHeight="false" outlineLevel="0" collapsed="false">
      <c r="A118" s="11" t="s">
        <v>1118</v>
      </c>
      <c r="B118" s="11" t="s">
        <v>1557</v>
      </c>
      <c r="C118" s="11"/>
      <c r="D118" s="11" t="s">
        <v>1558</v>
      </c>
      <c r="E118" s="11" t="s">
        <v>1558</v>
      </c>
      <c r="F118" s="11" t="s">
        <v>1559</v>
      </c>
      <c r="G118" s="12"/>
    </row>
    <row r="119" customFormat="false" ht="15" hidden="false" customHeight="false" outlineLevel="0" collapsed="false">
      <c r="A119" s="11" t="s">
        <v>1118</v>
      </c>
      <c r="B119" s="11" t="s">
        <v>1560</v>
      </c>
      <c r="C119" s="11"/>
      <c r="D119" s="11" t="s">
        <v>1558</v>
      </c>
      <c r="E119" s="11" t="s">
        <v>1301</v>
      </c>
      <c r="F119" s="11" t="s">
        <v>1561</v>
      </c>
      <c r="G119" s="12"/>
    </row>
    <row r="120" customFormat="false" ht="15" hidden="false" customHeight="false" outlineLevel="0" collapsed="false">
      <c r="A120" s="11" t="s">
        <v>1304</v>
      </c>
      <c r="B120" s="11" t="s">
        <v>1530</v>
      </c>
      <c r="C120" s="11" t="s">
        <v>1562</v>
      </c>
      <c r="D120" s="11"/>
      <c r="E120" s="11" t="s">
        <v>1563</v>
      </c>
      <c r="F120" s="11" t="s">
        <v>1451</v>
      </c>
      <c r="G120" s="12"/>
    </row>
    <row r="121" customFormat="false" ht="15" hidden="false" customHeight="false" outlineLevel="0" collapsed="false">
      <c r="A121" s="11" t="s">
        <v>1304</v>
      </c>
      <c r="B121" s="11" t="s">
        <v>1564</v>
      </c>
      <c r="C121" s="11"/>
      <c r="D121" s="11" t="s">
        <v>1472</v>
      </c>
      <c r="E121" s="11" t="s">
        <v>1565</v>
      </c>
      <c r="F121" s="11" t="s">
        <v>1566</v>
      </c>
      <c r="G121" s="12" t="s">
        <v>1536</v>
      </c>
    </row>
    <row r="122" customFormat="false" ht="15" hidden="false" customHeight="false" outlineLevel="0" collapsed="false">
      <c r="A122" s="11" t="s">
        <v>1304</v>
      </c>
      <c r="B122" s="11" t="s">
        <v>1567</v>
      </c>
      <c r="C122" s="11"/>
      <c r="D122" s="11" t="s">
        <v>1475</v>
      </c>
      <c r="E122" s="11" t="s">
        <v>1568</v>
      </c>
      <c r="F122" s="11" t="s">
        <v>1569</v>
      </c>
      <c r="G122" s="12"/>
    </row>
    <row r="123" customFormat="false" ht="15" hidden="false" customHeight="false" outlineLevel="0" collapsed="false">
      <c r="A123" s="11" t="s">
        <v>1304</v>
      </c>
      <c r="B123" s="11" t="s">
        <v>1373</v>
      </c>
      <c r="C123" s="11"/>
      <c r="D123" s="11" t="s">
        <v>1475</v>
      </c>
      <c r="E123" s="11" t="s">
        <v>1570</v>
      </c>
      <c r="F123" s="11" t="s">
        <v>1571</v>
      </c>
      <c r="G123" s="12" t="s">
        <v>1536</v>
      </c>
    </row>
    <row r="124" customFormat="false" ht="15" hidden="false" customHeight="false" outlineLevel="0" collapsed="false">
      <c r="A124" s="11" t="s">
        <v>1304</v>
      </c>
      <c r="B124" s="11" t="s">
        <v>1572</v>
      </c>
      <c r="C124" s="11"/>
      <c r="D124" s="11" t="s">
        <v>1525</v>
      </c>
      <c r="E124" s="11" t="s">
        <v>1573</v>
      </c>
      <c r="F124" s="11" t="s">
        <v>1574</v>
      </c>
      <c r="G124" s="12"/>
    </row>
    <row r="125" customFormat="false" ht="15" hidden="false" customHeight="false" outlineLevel="0" collapsed="false">
      <c r="A125" s="11" t="s">
        <v>1304</v>
      </c>
      <c r="B125" s="11" t="s">
        <v>1575</v>
      </c>
      <c r="C125" s="11"/>
      <c r="D125" s="11" t="s">
        <v>1525</v>
      </c>
      <c r="E125" s="11" t="s">
        <v>1576</v>
      </c>
      <c r="F125" s="11" t="s">
        <v>1577</v>
      </c>
      <c r="G125" s="12"/>
    </row>
    <row r="126" customFormat="false" ht="15" hidden="false" customHeight="false" outlineLevel="0" collapsed="false">
      <c r="A126" s="11" t="s">
        <v>1304</v>
      </c>
      <c r="B126" s="11" t="s">
        <v>1578</v>
      </c>
      <c r="C126" s="11"/>
      <c r="D126" s="11"/>
      <c r="E126" s="11"/>
      <c r="F126" s="11" t="s">
        <v>1579</v>
      </c>
      <c r="G126" s="12" t="s">
        <v>1536</v>
      </c>
    </row>
    <row r="127" customFormat="false" ht="15" hidden="false" customHeight="false" outlineLevel="0" collapsed="false">
      <c r="A127" s="11" t="s">
        <v>1292</v>
      </c>
      <c r="B127" s="11" t="s">
        <v>1580</v>
      </c>
      <c r="C127" s="11"/>
      <c r="D127" s="11"/>
      <c r="E127" s="11" t="s">
        <v>1338</v>
      </c>
      <c r="F127" s="11" t="s">
        <v>1581</v>
      </c>
      <c r="G127" s="12"/>
    </row>
    <row r="128" customFormat="false" ht="15" hidden="false" customHeight="false" outlineLevel="0" collapsed="false">
      <c r="A128" s="11" t="s">
        <v>1292</v>
      </c>
      <c r="B128" s="11" t="s">
        <v>1533</v>
      </c>
      <c r="C128" s="11"/>
      <c r="D128" s="11" t="s">
        <v>1472</v>
      </c>
      <c r="E128" s="11" t="s">
        <v>1504</v>
      </c>
      <c r="F128" s="11" t="s">
        <v>1582</v>
      </c>
      <c r="G128" s="12" t="s">
        <v>1536</v>
      </c>
    </row>
    <row r="129" customFormat="false" ht="15" hidden="false" customHeight="false" outlineLevel="0" collapsed="false">
      <c r="A129" s="11" t="s">
        <v>1292</v>
      </c>
      <c r="B129" s="11" t="s">
        <v>1583</v>
      </c>
      <c r="C129" s="11"/>
      <c r="D129" s="11" t="s">
        <v>1472</v>
      </c>
      <c r="E129" s="11" t="s">
        <v>1472</v>
      </c>
      <c r="F129" s="11" t="s">
        <v>1584</v>
      </c>
      <c r="G129" s="12" t="s">
        <v>1585</v>
      </c>
    </row>
    <row r="130" customFormat="false" ht="15" hidden="false" customHeight="false" outlineLevel="0" collapsed="false">
      <c r="A130" s="11" t="s">
        <v>1292</v>
      </c>
      <c r="B130" s="11" t="s">
        <v>1548</v>
      </c>
      <c r="C130" s="11" t="s">
        <v>1586</v>
      </c>
      <c r="D130" s="11"/>
      <c r="E130" s="11" t="s">
        <v>1586</v>
      </c>
      <c r="F130" s="11" t="s">
        <v>1467</v>
      </c>
      <c r="G130" s="12"/>
    </row>
    <row r="131" customFormat="false" ht="15" hidden="false" customHeight="false" outlineLevel="0" collapsed="false">
      <c r="A131" s="11" t="s">
        <v>1292</v>
      </c>
      <c r="B131" s="11" t="s">
        <v>1587</v>
      </c>
      <c r="C131" s="11"/>
      <c r="D131" s="11" t="s">
        <v>1454</v>
      </c>
      <c r="E131" s="11" t="s">
        <v>1588</v>
      </c>
      <c r="F131" s="11" t="s">
        <v>1589</v>
      </c>
      <c r="G131" s="12"/>
    </row>
    <row r="132" customFormat="false" ht="15" hidden="false" customHeight="false" outlineLevel="0" collapsed="false">
      <c r="A132" s="11" t="s">
        <v>1292</v>
      </c>
      <c r="B132" s="11" t="s">
        <v>1590</v>
      </c>
      <c r="C132" s="11"/>
      <c r="D132" s="11" t="s">
        <v>1472</v>
      </c>
      <c r="E132" s="11" t="s">
        <v>1525</v>
      </c>
      <c r="F132" s="11" t="s">
        <v>1591</v>
      </c>
      <c r="G132" s="12" t="s">
        <v>1592</v>
      </c>
    </row>
    <row r="133" customFormat="false" ht="15" hidden="false" customHeight="false" outlineLevel="0" collapsed="false">
      <c r="A133" s="11" t="s">
        <v>1292</v>
      </c>
      <c r="B133" s="11" t="s">
        <v>1593</v>
      </c>
      <c r="C133" s="11"/>
      <c r="D133" s="11" t="s">
        <v>1472</v>
      </c>
      <c r="E133" s="11" t="s">
        <v>1454</v>
      </c>
      <c r="F133" s="11" t="s">
        <v>1594</v>
      </c>
      <c r="G133" s="12"/>
    </row>
    <row r="134" customFormat="false" ht="15" hidden="false" customHeight="false" outlineLevel="0" collapsed="false">
      <c r="A134" s="11" t="s">
        <v>1287</v>
      </c>
      <c r="B134" s="11" t="s">
        <v>1503</v>
      </c>
      <c r="C134" s="11" t="s">
        <v>1558</v>
      </c>
      <c r="D134" s="11"/>
      <c r="E134" s="11" t="s">
        <v>1595</v>
      </c>
      <c r="F134" s="11" t="s">
        <v>1596</v>
      </c>
      <c r="G134" s="12"/>
    </row>
    <row r="135" customFormat="false" ht="15" hidden="false" customHeight="false" outlineLevel="0" collapsed="false">
      <c r="A135" s="11" t="s">
        <v>1287</v>
      </c>
      <c r="B135" s="11" t="s">
        <v>1597</v>
      </c>
      <c r="C135" s="11"/>
      <c r="D135" s="11" t="s">
        <v>1469</v>
      </c>
      <c r="E135" s="11" t="s">
        <v>1538</v>
      </c>
      <c r="F135" s="11"/>
      <c r="G135" s="12"/>
    </row>
    <row r="136" customFormat="false" ht="15" hidden="false" customHeight="false" outlineLevel="0" collapsed="false">
      <c r="A136" s="11" t="s">
        <v>1287</v>
      </c>
      <c r="B136" s="11" t="s">
        <v>1598</v>
      </c>
      <c r="C136" s="11"/>
      <c r="D136" s="11" t="s">
        <v>1475</v>
      </c>
      <c r="E136" s="11" t="s">
        <v>1475</v>
      </c>
      <c r="F136" s="11"/>
      <c r="G136" s="12"/>
    </row>
    <row r="137" customFormat="false" ht="15" hidden="false" customHeight="false" outlineLevel="0" collapsed="false">
      <c r="A137" s="11" t="s">
        <v>1287</v>
      </c>
      <c r="B137" s="11" t="s">
        <v>1599</v>
      </c>
      <c r="C137" s="11"/>
      <c r="D137" s="11" t="s">
        <v>1525</v>
      </c>
      <c r="E137" s="11" t="s">
        <v>1525</v>
      </c>
      <c r="F137" s="11" t="s">
        <v>1600</v>
      </c>
      <c r="G137" s="12"/>
    </row>
    <row r="138" customFormat="false" ht="15" hidden="false" customHeight="false" outlineLevel="0" collapsed="false">
      <c r="A138" s="11" t="s">
        <v>1601</v>
      </c>
      <c r="B138" s="11" t="s">
        <v>1602</v>
      </c>
      <c r="C138" s="11" t="s">
        <v>1603</v>
      </c>
      <c r="D138" s="11"/>
      <c r="E138" s="11" t="s">
        <v>1604</v>
      </c>
      <c r="F138" s="11" t="s">
        <v>1605</v>
      </c>
      <c r="G138" s="12"/>
    </row>
    <row r="139" customFormat="false" ht="15" hidden="false" customHeight="false" outlineLevel="0" collapsed="false">
      <c r="A139" s="11" t="s">
        <v>1601</v>
      </c>
      <c r="B139" s="11" t="s">
        <v>1606</v>
      </c>
      <c r="C139" s="11"/>
      <c r="D139" s="11" t="s">
        <v>1607</v>
      </c>
      <c r="E139" s="11" t="s">
        <v>1608</v>
      </c>
      <c r="F139" s="11" t="s">
        <v>1609</v>
      </c>
      <c r="G139" s="12"/>
    </row>
    <row r="140" customFormat="false" ht="15" hidden="false" customHeight="false" outlineLevel="0" collapsed="false">
      <c r="A140" s="11" t="s">
        <v>1601</v>
      </c>
      <c r="B140" s="11" t="s">
        <v>1610</v>
      </c>
      <c r="C140" s="11" t="s">
        <v>1611</v>
      </c>
      <c r="D140" s="11"/>
      <c r="E140" s="11" t="s">
        <v>1612</v>
      </c>
      <c r="F140" s="11" t="s">
        <v>1613</v>
      </c>
      <c r="G140" s="12"/>
    </row>
    <row r="141" customFormat="false" ht="15" hidden="false" customHeight="false" outlineLevel="0" collapsed="false">
      <c r="A141" s="11" t="s">
        <v>1601</v>
      </c>
      <c r="B141" s="11" t="s">
        <v>1614</v>
      </c>
      <c r="C141" s="11"/>
      <c r="D141" s="11" t="s">
        <v>1615</v>
      </c>
      <c r="E141" s="11" t="s">
        <v>1616</v>
      </c>
      <c r="F141" s="11" t="s">
        <v>1617</v>
      </c>
      <c r="G141" s="12"/>
    </row>
    <row r="142" customFormat="false" ht="15" hidden="false" customHeight="false" outlineLevel="0" collapsed="false">
      <c r="A142" s="11" t="s">
        <v>1601</v>
      </c>
      <c r="B142" s="11" t="s">
        <v>1618</v>
      </c>
      <c r="C142" s="11"/>
      <c r="D142" s="11"/>
      <c r="E142" s="11" t="s">
        <v>1619</v>
      </c>
      <c r="F142" s="11" t="s">
        <v>1620</v>
      </c>
      <c r="G142" s="12" t="s">
        <v>1621</v>
      </c>
    </row>
    <row r="143" customFormat="false" ht="15" hidden="false" customHeight="false" outlineLevel="0" collapsed="false">
      <c r="A143" s="11" t="s">
        <v>1622</v>
      </c>
      <c r="B143" s="11" t="s">
        <v>1623</v>
      </c>
      <c r="C143" s="11"/>
      <c r="D143" s="11"/>
      <c r="E143" s="11" t="s">
        <v>1624</v>
      </c>
      <c r="F143" s="11" t="s">
        <v>1625</v>
      </c>
      <c r="G143" s="12"/>
    </row>
    <row r="144" customFormat="false" ht="15" hidden="false" customHeight="false" outlineLevel="0" collapsed="false">
      <c r="A144" s="11" t="s">
        <v>1622</v>
      </c>
      <c r="B144" s="11" t="s">
        <v>1626</v>
      </c>
      <c r="C144" s="11"/>
      <c r="D144" s="11" t="s">
        <v>1627</v>
      </c>
      <c r="E144" s="11" t="s">
        <v>1628</v>
      </c>
      <c r="F144" s="11" t="s">
        <v>1620</v>
      </c>
      <c r="G144" s="12" t="s">
        <v>1629</v>
      </c>
    </row>
    <row r="145" customFormat="false" ht="15" hidden="false" customHeight="false" outlineLevel="0" collapsed="false">
      <c r="A145" s="11" t="s">
        <v>1276</v>
      </c>
      <c r="B145" s="11" t="s">
        <v>1439</v>
      </c>
      <c r="C145" s="11"/>
      <c r="D145" s="11"/>
      <c r="E145" s="11" t="s">
        <v>1433</v>
      </c>
      <c r="F145" s="11"/>
      <c r="G145" s="12"/>
    </row>
    <row r="146" customFormat="false" ht="15" hidden="false" customHeight="false" outlineLevel="0" collapsed="false">
      <c r="A146" s="11" t="s">
        <v>1276</v>
      </c>
      <c r="B146" s="11" t="s">
        <v>1630</v>
      </c>
      <c r="C146" s="11"/>
      <c r="D146" s="11" t="s">
        <v>1631</v>
      </c>
      <c r="E146" s="11" t="s">
        <v>1632</v>
      </c>
      <c r="F146" s="11" t="s">
        <v>1633</v>
      </c>
      <c r="G146" s="12"/>
    </row>
    <row r="147" customFormat="false" ht="15" hidden="false" customHeight="false" outlineLevel="0" collapsed="false">
      <c r="A147" s="11" t="s">
        <v>1276</v>
      </c>
      <c r="B147" s="11" t="s">
        <v>1557</v>
      </c>
      <c r="C147" s="11"/>
      <c r="D147" s="11" t="s">
        <v>1631</v>
      </c>
      <c r="E147" s="11" t="s">
        <v>1399</v>
      </c>
      <c r="F147" s="11" t="s">
        <v>1634</v>
      </c>
      <c r="G147" s="12"/>
    </row>
    <row r="148" customFormat="false" ht="15" hidden="false" customHeight="false" outlineLevel="0" collapsed="false">
      <c r="A148" s="11" t="s">
        <v>1281</v>
      </c>
      <c r="B148" s="11" t="s">
        <v>1478</v>
      </c>
      <c r="C148" s="11"/>
      <c r="D148" s="11"/>
      <c r="E148" s="11"/>
      <c r="F148" s="11" t="s">
        <v>1480</v>
      </c>
      <c r="G148" s="12" t="s">
        <v>1635</v>
      </c>
    </row>
    <row r="149" customFormat="false" ht="15" hidden="false" customHeight="false" outlineLevel="0" collapsed="false">
      <c r="A149" s="11" t="s">
        <v>1284</v>
      </c>
      <c r="B149" s="11" t="s">
        <v>1478</v>
      </c>
      <c r="C149" s="11"/>
      <c r="D149" s="11"/>
      <c r="E149" s="11"/>
      <c r="F149" s="11" t="s">
        <v>1480</v>
      </c>
      <c r="G149" s="12" t="s">
        <v>1635</v>
      </c>
    </row>
  </sheetData>
  <autoFilter ref="A1:E2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4" min="3" style="0" width="16"/>
    <col collapsed="false" customWidth="true" hidden="false" outlineLevel="0" max="5" min="5" style="0" width="12"/>
  </cols>
  <sheetData>
    <row r="1" customFormat="false" ht="23.85" hidden="false" customHeight="false" outlineLevel="0" collapsed="false">
      <c r="A1" s="10" t="s">
        <v>1636</v>
      </c>
      <c r="B1" s="10" t="s">
        <v>18</v>
      </c>
      <c r="C1" s="10" t="s">
        <v>1637</v>
      </c>
      <c r="D1" s="10" t="s">
        <v>1638</v>
      </c>
      <c r="E1" s="10" t="s">
        <v>1639</v>
      </c>
    </row>
    <row r="2" customFormat="false" ht="15" hidden="false" customHeight="false" outlineLevel="0" collapsed="false">
      <c r="A2" s="17" t="n">
        <v>45688</v>
      </c>
      <c r="B2" s="12" t="s">
        <v>22</v>
      </c>
      <c r="C2" s="11" t="n">
        <v>138</v>
      </c>
      <c r="D2" s="12" t="n">
        <f aca="false">COUNTIFS(Animals!$B:$B,B2,Animals!$H:$H,"&lt;="&amp;A2,Animals!$K:$K,"&gt;"&amp;A2)+COUNTIFS(Animals!$B:$B,B2,Animals!$H:$H,"&lt;="&amp;A2,Animals!$K:$K,"")</f>
        <v>138</v>
      </c>
      <c r="E2" s="12" t="n">
        <f aca="false">D2-C2</f>
        <v>0</v>
      </c>
    </row>
    <row r="3" customFormat="false" ht="15" hidden="false" customHeight="false" outlineLevel="0" collapsed="false">
      <c r="A3" s="17" t="n">
        <v>45716</v>
      </c>
      <c r="B3" s="12" t="s">
        <v>22</v>
      </c>
      <c r="C3" s="11" t="n">
        <v>137</v>
      </c>
      <c r="D3" s="12" t="n">
        <f aca="false">COUNTIFS(Animals!$B:$B,B3,Animals!$H:$H,"&lt;="&amp;A3,Animals!$K:$K,"&gt;"&amp;A3)+COUNTIFS(Animals!$B:$B,B3,Animals!$H:$H,"&lt;="&amp;A3,Animals!$K:$K,"")</f>
        <v>137</v>
      </c>
      <c r="E3" s="12" t="n">
        <f aca="false">D3-C3</f>
        <v>0</v>
      </c>
    </row>
    <row r="4" customFormat="false" ht="15" hidden="false" customHeight="false" outlineLevel="0" collapsed="false">
      <c r="A4" s="17" t="n">
        <v>45747</v>
      </c>
      <c r="B4" s="12" t="s">
        <v>22</v>
      </c>
      <c r="C4" s="11" t="n">
        <v>137</v>
      </c>
      <c r="D4" s="12" t="n">
        <f aca="false">COUNTIFS(Animals!$B:$B,B4,Animals!$H:$H,"&lt;="&amp;A4,Animals!$K:$K,"&gt;"&amp;A4)+COUNTIFS(Animals!$B:$B,B4,Animals!$H:$H,"&lt;="&amp;A4,Animals!$K:$K,"")</f>
        <v>137</v>
      </c>
      <c r="E4" s="12" t="n">
        <f aca="false">D4-C4</f>
        <v>0</v>
      </c>
    </row>
    <row r="5" customFormat="false" ht="15" hidden="false" customHeight="false" outlineLevel="0" collapsed="false">
      <c r="A5" s="17" t="n">
        <v>45777</v>
      </c>
      <c r="B5" s="12" t="s">
        <v>22</v>
      </c>
      <c r="C5" s="11" t="n">
        <v>138</v>
      </c>
      <c r="D5" s="12" t="n">
        <f aca="false">COUNTIFS(Animals!$B:$B,B5,Animals!$H:$H,"&lt;="&amp;A5,Animals!$K:$K,"&gt;"&amp;A5)+COUNTIFS(Animals!$B:$B,B5,Animals!$H:$H,"&lt;="&amp;A5,Animals!$K:$K,"")</f>
        <v>138</v>
      </c>
      <c r="E5" s="12" t="n">
        <f aca="false">D5-C5</f>
        <v>0</v>
      </c>
    </row>
    <row r="6" customFormat="false" ht="15" hidden="false" customHeight="false" outlineLevel="0" collapsed="false">
      <c r="A6" s="17" t="n">
        <v>45808</v>
      </c>
      <c r="B6" s="12" t="s">
        <v>22</v>
      </c>
      <c r="C6" s="11" t="n">
        <v>137</v>
      </c>
      <c r="D6" s="12" t="n">
        <f aca="false">COUNTIFS(Animals!$B:$B,B6,Animals!$H:$H,"&lt;="&amp;A6,Animals!$K:$K,"&gt;"&amp;A6)+COUNTIFS(Animals!$B:$B,B6,Animals!$H:$H,"&lt;="&amp;A6,Animals!$K:$K,"")</f>
        <v>137</v>
      </c>
      <c r="E6" s="12" t="n">
        <f aca="false">D6-C6</f>
        <v>0</v>
      </c>
    </row>
    <row r="7" customFormat="false" ht="15" hidden="false" customHeight="false" outlineLevel="0" collapsed="false">
      <c r="A7" s="17" t="n">
        <v>45838</v>
      </c>
      <c r="B7" s="12" t="s">
        <v>22</v>
      </c>
      <c r="C7" s="11" t="n">
        <v>127</v>
      </c>
      <c r="D7" s="12" t="n">
        <f aca="false">COUNTIFS(Animals!$B:$B,B7,Animals!$H:$H,"&lt;="&amp;A7,Animals!$K:$K,"&gt;"&amp;A7)+COUNTIFS(Animals!$B:$B,B7,Animals!$H:$H,"&lt;="&amp;A7,Animals!$K:$K,"")</f>
        <v>127</v>
      </c>
      <c r="E7" s="12" t="n">
        <f aca="false">D7-C7</f>
        <v>0</v>
      </c>
    </row>
    <row r="8" customFormat="false" ht="15" hidden="false" customHeight="false" outlineLevel="0" collapsed="false">
      <c r="A8" s="17" t="n">
        <v>45869</v>
      </c>
      <c r="B8" s="12" t="s">
        <v>22</v>
      </c>
      <c r="C8" s="11" t="n">
        <v>127</v>
      </c>
      <c r="D8" s="12" t="n">
        <f aca="false">COUNTIFS(Animals!$B:$B,B8,Animals!$H:$H,"&lt;="&amp;A8,Animals!$K:$K,"&gt;"&amp;A8)+COUNTIFS(Animals!$B:$B,B8,Animals!$H:$H,"&lt;="&amp;A8,Animals!$K:$K,"")</f>
        <v>127</v>
      </c>
      <c r="E8" s="12" t="n">
        <f aca="false">D8-C8</f>
        <v>0</v>
      </c>
    </row>
    <row r="9" customFormat="false" ht="15" hidden="false" customHeight="false" outlineLevel="0" collapsed="false">
      <c r="A9" s="17" t="n">
        <v>45900</v>
      </c>
      <c r="B9" s="12" t="s">
        <v>22</v>
      </c>
      <c r="C9" s="11" t="n">
        <v>123</v>
      </c>
      <c r="D9" s="12" t="n">
        <f aca="false">COUNTIFS(Animals!$B:$B,B9,Animals!$H:$H,"&lt;="&amp;A9,Animals!$K:$K,"&gt;"&amp;A9)+COUNTIFS(Animals!$B:$B,B9,Animals!$H:$H,"&lt;="&amp;A9,Animals!$K:$K,"")</f>
        <v>123</v>
      </c>
      <c r="E9" s="12" t="n">
        <f aca="false">D9-C9</f>
        <v>0</v>
      </c>
    </row>
    <row r="10" customFormat="false" ht="15" hidden="false" customHeight="false" outlineLevel="0" collapsed="false">
      <c r="A10" s="17" t="n">
        <v>45930</v>
      </c>
      <c r="B10" s="12" t="s">
        <v>22</v>
      </c>
      <c r="C10" s="11" t="n">
        <v>122</v>
      </c>
      <c r="D10" s="12" t="n">
        <f aca="false">COUNTIFS(Animals!$B:$B,B10,Animals!$H:$H,"&lt;="&amp;A10,Animals!$K:$K,"&gt;"&amp;A10)+COUNTIFS(Animals!$B:$B,B10,Animals!$H:$H,"&lt;="&amp;A10,Animals!$K:$K,"")</f>
        <v>122</v>
      </c>
      <c r="E10" s="12" t="n">
        <f aca="false">D10-C10</f>
        <v>0</v>
      </c>
    </row>
    <row r="11" customFormat="false" ht="15" hidden="false" customHeight="false" outlineLevel="0" collapsed="false">
      <c r="A11" s="17" t="n">
        <v>45961</v>
      </c>
      <c r="B11" s="12" t="s">
        <v>22</v>
      </c>
      <c r="C11" s="11" t="n">
        <v>104</v>
      </c>
      <c r="D11" s="12" t="n">
        <f aca="false">COUNTIFS(Animals!$B:$B,B11,Animals!$H:$H,"&lt;="&amp;A11,Animals!$K:$K,"&gt;"&amp;A11)+COUNTIFS(Animals!$B:$B,B11,Animals!$H:$H,"&lt;="&amp;A11,Animals!$K:$K,"")</f>
        <v>104</v>
      </c>
      <c r="E11" s="12" t="n">
        <f aca="false">D11-C11</f>
        <v>0</v>
      </c>
    </row>
    <row r="12" customFormat="false" ht="15" hidden="false" customHeight="false" outlineLevel="0" collapsed="false">
      <c r="A12" s="17" t="n">
        <v>45991</v>
      </c>
      <c r="B12" s="12" t="s">
        <v>22</v>
      </c>
      <c r="C12" s="11" t="n">
        <v>108</v>
      </c>
      <c r="D12" s="12" t="n">
        <f aca="false">COUNTIFS(Animals!$B:$B,B12,Animals!$H:$H,"&lt;="&amp;A12,Animals!$K:$K,"&gt;"&amp;A12)+COUNTIFS(Animals!$B:$B,B12,Animals!$H:$H,"&lt;="&amp;A12,Animals!$K:$K,"")</f>
        <v>108</v>
      </c>
      <c r="E12" s="12" t="n">
        <f aca="false">D12-C12</f>
        <v>0</v>
      </c>
    </row>
    <row r="13" customFormat="false" ht="15" hidden="false" customHeight="false" outlineLevel="0" collapsed="false">
      <c r="A13" s="17" t="n">
        <v>46022</v>
      </c>
      <c r="B13" s="12" t="s">
        <v>22</v>
      </c>
      <c r="C13" s="11" t="n">
        <v>112</v>
      </c>
      <c r="D13" s="12" t="n">
        <f aca="false">COUNTIFS(Animals!$B:$B,B13,Animals!$H:$H,"&lt;="&amp;A13,Animals!$K:$K,"&gt;"&amp;A13)+COUNTIFS(Animals!$B:$B,B13,Animals!$H:$H,"&lt;="&amp;A13,Animals!$K:$K,"")</f>
        <v>112</v>
      </c>
      <c r="E13" s="12" t="n">
        <f aca="false">D13-C13</f>
        <v>0</v>
      </c>
    </row>
    <row r="14" customFormat="false" ht="15" hidden="false" customHeight="false" outlineLevel="0" collapsed="false">
      <c r="A14" s="17" t="n">
        <v>46053</v>
      </c>
      <c r="B14" s="12" t="s">
        <v>22</v>
      </c>
      <c r="C14" s="11" t="n">
        <v>114</v>
      </c>
      <c r="D14" s="12" t="n">
        <f aca="false">COUNTIFS(Animals!$B:$B,B14,Animals!$H:$H,"&lt;="&amp;A14,Animals!$K:$K,"&gt;"&amp;A14)+COUNTIFS(Animals!$B:$B,B14,Animals!$H:$H,"&lt;="&amp;A14,Animals!$K:$K,"")</f>
        <v>114</v>
      </c>
      <c r="E14" s="12" t="n">
        <f aca="false">D14-C14</f>
        <v>0</v>
      </c>
    </row>
    <row r="15" customFormat="false" ht="15" hidden="false" customHeight="false" outlineLevel="0" collapsed="false">
      <c r="A15" s="17" t="n">
        <v>46081</v>
      </c>
      <c r="B15" s="12" t="s">
        <v>22</v>
      </c>
      <c r="C15" s="11" t="n">
        <v>115</v>
      </c>
      <c r="D15" s="12" t="n">
        <f aca="false">COUNTIFS(Animals!$B:$B,B15,Animals!$H:$H,"&lt;="&amp;A15,Animals!$K:$K,"&gt;"&amp;A15)+COUNTIFS(Animals!$B:$B,B15,Animals!$H:$H,"&lt;="&amp;A15,Animals!$K:$K,"")</f>
        <v>115</v>
      </c>
      <c r="E15" s="12" t="n">
        <f aca="false">D15-C15</f>
        <v>0</v>
      </c>
    </row>
    <row r="16" customFormat="false" ht="15" hidden="false" customHeight="false" outlineLevel="0" collapsed="false">
      <c r="A16" s="17" t="n">
        <v>46112</v>
      </c>
      <c r="B16" s="12" t="s">
        <v>22</v>
      </c>
      <c r="C16" s="11" t="n">
        <v>109</v>
      </c>
      <c r="D16" s="12" t="n">
        <f aca="false">COUNTIFS(Animals!$B:$B,B16,Animals!$H:$H,"&lt;="&amp;A16,Animals!$K:$K,"&gt;"&amp;A16)+COUNTIFS(Animals!$B:$B,B16,Animals!$H:$H,"&lt;="&amp;A16,Animals!$K:$K,"")</f>
        <v>109</v>
      </c>
      <c r="E16" s="12" t="n">
        <f aca="false">D16-C16</f>
        <v>0</v>
      </c>
    </row>
    <row r="17" customFormat="false" ht="15" hidden="false" customHeight="false" outlineLevel="0" collapsed="false">
      <c r="A17" s="17" t="n">
        <v>46142</v>
      </c>
      <c r="B17" s="12" t="s">
        <v>22</v>
      </c>
      <c r="C17" s="11" t="n">
        <v>106</v>
      </c>
      <c r="D17" s="12" t="n">
        <f aca="false">COUNTIFS(Animals!$B:$B,B17,Animals!$H:$H,"&lt;="&amp;A17,Animals!$K:$K,"&gt;"&amp;A17)+COUNTIFS(Animals!$B:$B,B17,Animals!$H:$H,"&lt;="&amp;A17,Animals!$K:$K,"")</f>
        <v>106</v>
      </c>
      <c r="E17" s="12" t="n">
        <f aca="false">D17-C17</f>
        <v>0</v>
      </c>
    </row>
    <row r="18" customFormat="false" ht="15" hidden="false" customHeight="false" outlineLevel="0" collapsed="false">
      <c r="A18" s="17" t="n">
        <v>46173</v>
      </c>
      <c r="B18" s="12" t="s">
        <v>22</v>
      </c>
      <c r="C18" s="11" t="n">
        <v>105</v>
      </c>
      <c r="D18" s="12" t="n">
        <f aca="false">COUNTIFS(Animals!$B:$B,B18,Animals!$H:$H,"&lt;="&amp;A18,Animals!$K:$K,"&gt;"&amp;A18)+COUNTIFS(Animals!$B:$B,B18,Animals!$H:$H,"&lt;="&amp;A18,Animals!$K:$K,"")</f>
        <v>105</v>
      </c>
      <c r="E18" s="12" t="n">
        <f aca="false">D18-C18</f>
        <v>0</v>
      </c>
    </row>
    <row r="19" customFormat="false" ht="15" hidden="false" customHeight="false" outlineLevel="0" collapsed="false">
      <c r="A19" s="17" t="n">
        <v>46203</v>
      </c>
      <c r="B19" s="12" t="s">
        <v>22</v>
      </c>
      <c r="C19" s="11" t="n">
        <v>103</v>
      </c>
      <c r="D19" s="12" t="n">
        <f aca="false">COUNTIFS(Animals!$B:$B,B19,Animals!$H:$H,"&lt;="&amp;A19,Animals!$K:$K,"&gt;"&amp;A19)+COUNTIFS(Animals!$B:$B,B19,Animals!$H:$H,"&lt;="&amp;A19,Animals!$K:$K,"")</f>
        <v>103</v>
      </c>
      <c r="E19" s="12" t="n">
        <f aca="false">D19-C19</f>
        <v>0</v>
      </c>
    </row>
    <row r="20" customFormat="false" ht="15" hidden="false" customHeight="false" outlineLevel="0" collapsed="false">
      <c r="A20" s="17" t="n">
        <v>46234</v>
      </c>
      <c r="B20" s="12" t="s">
        <v>22</v>
      </c>
      <c r="C20" s="11" t="n">
        <v>103</v>
      </c>
      <c r="D20" s="12" t="n">
        <f aca="false">COUNTIFS(Animals!$B:$B,B20,Animals!$H:$H,"&lt;="&amp;A20,Animals!$K:$K,"&gt;"&amp;A20)+COUNTIFS(Animals!$B:$B,B20,Animals!$H:$H,"&lt;="&amp;A20,Animals!$K:$K,"")</f>
        <v>103</v>
      </c>
      <c r="E20" s="12" t="n">
        <f aca="false">D20-C20</f>
        <v>0</v>
      </c>
    </row>
    <row r="21" customFormat="false" ht="15" hidden="false" customHeight="false" outlineLevel="0" collapsed="false">
      <c r="A21" s="17" t="n">
        <v>46265</v>
      </c>
      <c r="B21" s="12" t="s">
        <v>22</v>
      </c>
      <c r="C21" s="11" t="n">
        <v>105</v>
      </c>
      <c r="D21" s="12" t="n">
        <f aca="false">COUNTIFS(Animals!$B:$B,B21,Animals!$H:$H,"&lt;="&amp;A21,Animals!$K:$K,"&gt;"&amp;A21)+COUNTIFS(Animals!$B:$B,B21,Animals!$H:$H,"&lt;="&amp;A21,Animals!$K:$K,"")</f>
        <v>105</v>
      </c>
      <c r="E21" s="12" t="n">
        <f aca="false">D21-C21</f>
        <v>0</v>
      </c>
    </row>
    <row r="22" customFormat="false" ht="15" hidden="false" customHeight="false" outlineLevel="0" collapsed="false">
      <c r="A22" s="17" t="n">
        <v>46279</v>
      </c>
      <c r="B22" s="12" t="s">
        <v>22</v>
      </c>
      <c r="C22" s="11" t="n">
        <v>108</v>
      </c>
      <c r="D22" s="12" t="n">
        <f aca="false">COUNTIFS(Animals!$B:$B,B22,Animals!$H:$H,"&lt;="&amp;A22,Animals!$K:$K,"&gt;"&amp;A22)+COUNTIFS(Animals!$B:$B,B22,Animals!$H:$H,"&lt;="&amp;A22,Animals!$K:$K,"")</f>
        <v>108</v>
      </c>
      <c r="E22" s="12" t="n">
        <f aca="false">D22-C22</f>
        <v>0</v>
      </c>
    </row>
    <row r="23" customFormat="false" ht="15" hidden="false" customHeight="false" outlineLevel="0" collapsed="false">
      <c r="A23" s="17" t="n">
        <v>45808</v>
      </c>
      <c r="B23" s="12" t="s">
        <v>23</v>
      </c>
      <c r="C23" s="11" t="n">
        <v>108</v>
      </c>
      <c r="D23" s="12" t="n">
        <f aca="false">COUNTIFS(Animals!$B:$B,B23,Animals!$H:$H,"&lt;="&amp;A23,Animals!$K:$K,"&gt;"&amp;A23)+COUNTIFS(Animals!$B:$B,B23,Animals!$H:$H,"&lt;="&amp;A23,Animals!$K:$K,"")</f>
        <v>108</v>
      </c>
      <c r="E23" s="12" t="n">
        <f aca="false">D23-C23</f>
        <v>0</v>
      </c>
    </row>
    <row r="24" customFormat="false" ht="15" hidden="false" customHeight="false" outlineLevel="0" collapsed="false">
      <c r="A24" s="17" t="n">
        <v>45838</v>
      </c>
      <c r="B24" s="12" t="s">
        <v>23</v>
      </c>
      <c r="C24" s="11" t="n">
        <v>111</v>
      </c>
      <c r="D24" s="12" t="n">
        <f aca="false">COUNTIFS(Animals!$B:$B,B24,Animals!$H:$H,"&lt;="&amp;A24,Animals!$K:$K,"&gt;"&amp;A24)+COUNTIFS(Animals!$B:$B,B24,Animals!$H:$H,"&lt;="&amp;A24,Animals!$K:$K,"")</f>
        <v>111</v>
      </c>
      <c r="E24" s="12" t="n">
        <f aca="false">D24-C24</f>
        <v>0</v>
      </c>
    </row>
    <row r="25" customFormat="false" ht="15" hidden="false" customHeight="false" outlineLevel="0" collapsed="false">
      <c r="A25" s="17" t="n">
        <v>45869</v>
      </c>
      <c r="B25" s="12" t="s">
        <v>23</v>
      </c>
      <c r="C25" s="11" t="n">
        <v>109</v>
      </c>
      <c r="D25" s="12" t="n">
        <f aca="false">COUNTIFS(Animals!$B:$B,B25,Animals!$H:$H,"&lt;="&amp;A25,Animals!$K:$K,"&gt;"&amp;A25)+COUNTIFS(Animals!$B:$B,B25,Animals!$H:$H,"&lt;="&amp;A25,Animals!$K:$K,"")</f>
        <v>109</v>
      </c>
      <c r="E25" s="12" t="n">
        <f aca="false">D25-C25</f>
        <v>0</v>
      </c>
    </row>
    <row r="26" customFormat="false" ht="15" hidden="false" customHeight="false" outlineLevel="0" collapsed="false">
      <c r="A26" s="17" t="n">
        <v>45900</v>
      </c>
      <c r="B26" s="12" t="s">
        <v>23</v>
      </c>
      <c r="C26" s="11" t="n">
        <v>110</v>
      </c>
      <c r="D26" s="12" t="n">
        <f aca="false">COUNTIFS(Animals!$B:$B,B26,Animals!$H:$H,"&lt;="&amp;A26,Animals!$K:$K,"&gt;"&amp;A26)+COUNTIFS(Animals!$B:$B,B26,Animals!$H:$H,"&lt;="&amp;A26,Animals!$K:$K,"")</f>
        <v>110</v>
      </c>
      <c r="E26" s="12" t="n">
        <f aca="false">D26-C26</f>
        <v>0</v>
      </c>
    </row>
    <row r="27" customFormat="false" ht="15" hidden="false" customHeight="false" outlineLevel="0" collapsed="false">
      <c r="A27" s="17" t="n">
        <v>45930</v>
      </c>
      <c r="B27" s="12" t="s">
        <v>23</v>
      </c>
      <c r="C27" s="11" t="n">
        <v>105</v>
      </c>
      <c r="D27" s="12" t="n">
        <f aca="false">COUNTIFS(Animals!$B:$B,B27,Animals!$H:$H,"&lt;="&amp;A27,Animals!$K:$K,"&gt;"&amp;A27)+COUNTIFS(Animals!$B:$B,B27,Animals!$H:$H,"&lt;="&amp;A27,Animals!$K:$K,"")</f>
        <v>105</v>
      </c>
      <c r="E27" s="12" t="n">
        <f aca="false">D27-C27</f>
        <v>0</v>
      </c>
    </row>
    <row r="28" customFormat="false" ht="15" hidden="false" customHeight="false" outlineLevel="0" collapsed="false">
      <c r="A28" s="17" t="n">
        <v>45961</v>
      </c>
      <c r="B28" s="12" t="s">
        <v>23</v>
      </c>
      <c r="C28" s="11" t="n">
        <v>100</v>
      </c>
      <c r="D28" s="12" t="n">
        <f aca="false">COUNTIFS(Animals!$B:$B,B28,Animals!$H:$H,"&lt;="&amp;A28,Animals!$K:$K,"&gt;"&amp;A28)+COUNTIFS(Animals!$B:$B,B28,Animals!$H:$H,"&lt;="&amp;A28,Animals!$K:$K,"")</f>
        <v>100</v>
      </c>
      <c r="E28" s="12" t="n">
        <f aca="false">D28-C28</f>
        <v>0</v>
      </c>
    </row>
    <row r="29" customFormat="false" ht="15" hidden="false" customHeight="false" outlineLevel="0" collapsed="false">
      <c r="A29" s="17" t="n">
        <v>45991</v>
      </c>
      <c r="B29" s="12" t="s">
        <v>23</v>
      </c>
      <c r="C29" s="11" t="n">
        <v>103</v>
      </c>
      <c r="D29" s="12" t="n">
        <f aca="false">COUNTIFS(Animals!$B:$B,B29,Animals!$H:$H,"&lt;="&amp;A29,Animals!$K:$K,"&gt;"&amp;A29)+COUNTIFS(Animals!$B:$B,B29,Animals!$H:$H,"&lt;="&amp;A29,Animals!$K:$K,"")</f>
        <v>103</v>
      </c>
      <c r="E29" s="12" t="n">
        <f aca="false">D29-C29</f>
        <v>0</v>
      </c>
    </row>
    <row r="30" customFormat="false" ht="15" hidden="false" customHeight="false" outlineLevel="0" collapsed="false">
      <c r="A30" s="17" t="n">
        <v>46022</v>
      </c>
      <c r="B30" s="12" t="s">
        <v>23</v>
      </c>
      <c r="C30" s="11" t="n">
        <v>85</v>
      </c>
      <c r="D30" s="12" t="n">
        <f aca="false">COUNTIFS(Animals!$B:$B,B30,Animals!$H:$H,"&lt;="&amp;A30,Animals!$K:$K,"&gt;"&amp;A30)+COUNTIFS(Animals!$B:$B,B30,Animals!$H:$H,"&lt;="&amp;A30,Animals!$K:$K,"")</f>
        <v>85</v>
      </c>
      <c r="E30" s="12" t="n">
        <f aca="false">D30-C30</f>
        <v>0</v>
      </c>
    </row>
    <row r="31" customFormat="false" ht="15" hidden="false" customHeight="false" outlineLevel="0" collapsed="false">
      <c r="A31" s="17" t="n">
        <v>46053</v>
      </c>
      <c r="B31" s="12" t="s">
        <v>23</v>
      </c>
      <c r="C31" s="11" t="n">
        <v>84</v>
      </c>
      <c r="D31" s="12" t="n">
        <f aca="false">COUNTIFS(Animals!$B:$B,B31,Animals!$H:$H,"&lt;="&amp;A31,Animals!$K:$K,"&gt;"&amp;A31)+COUNTIFS(Animals!$B:$B,B31,Animals!$H:$H,"&lt;="&amp;A31,Animals!$K:$K,"")</f>
        <v>84</v>
      </c>
      <c r="E31" s="12" t="n">
        <f aca="false">D31-C31</f>
        <v>0</v>
      </c>
    </row>
    <row r="32" customFormat="false" ht="15" hidden="false" customHeight="false" outlineLevel="0" collapsed="false">
      <c r="A32" s="17" t="n">
        <v>46081</v>
      </c>
      <c r="B32" s="12" t="s">
        <v>23</v>
      </c>
      <c r="C32" s="11" t="n">
        <v>87</v>
      </c>
      <c r="D32" s="12" t="n">
        <f aca="false">COUNTIFS(Animals!$B:$B,B32,Animals!$H:$H,"&lt;="&amp;A32,Animals!$K:$K,"&gt;"&amp;A32)+COUNTIFS(Animals!$B:$B,B32,Animals!$H:$H,"&lt;="&amp;A32,Animals!$K:$K,"")</f>
        <v>87</v>
      </c>
      <c r="E32" s="12" t="n">
        <f aca="false">D32-C32</f>
        <v>0</v>
      </c>
    </row>
    <row r="33" customFormat="false" ht="15" hidden="false" customHeight="false" outlineLevel="0" collapsed="false">
      <c r="A33" s="17" t="n">
        <v>46112</v>
      </c>
      <c r="B33" s="12" t="s">
        <v>23</v>
      </c>
      <c r="C33" s="11" t="n">
        <v>86</v>
      </c>
      <c r="D33" s="12" t="n">
        <f aca="false">COUNTIFS(Animals!$B:$B,B33,Animals!$H:$H,"&lt;="&amp;A33,Animals!$K:$K,"&gt;"&amp;A33)+COUNTIFS(Animals!$B:$B,B33,Animals!$H:$H,"&lt;="&amp;A33,Animals!$K:$K,"")</f>
        <v>86</v>
      </c>
      <c r="E33" s="12" t="n">
        <f aca="false">D33-C33</f>
        <v>0</v>
      </c>
    </row>
    <row r="34" customFormat="false" ht="15" hidden="false" customHeight="false" outlineLevel="0" collapsed="false">
      <c r="A34" s="17" t="n">
        <v>46142</v>
      </c>
      <c r="B34" s="12" t="s">
        <v>23</v>
      </c>
      <c r="C34" s="11" t="n">
        <v>84</v>
      </c>
      <c r="D34" s="12" t="n">
        <f aca="false">COUNTIFS(Animals!$B:$B,B34,Animals!$H:$H,"&lt;="&amp;A34,Animals!$K:$K,"&gt;"&amp;A34)+COUNTIFS(Animals!$B:$B,B34,Animals!$H:$H,"&lt;="&amp;A34,Animals!$K:$K,"")</f>
        <v>84</v>
      </c>
      <c r="E34" s="12" t="n">
        <f aca="false">D34-C34</f>
        <v>0</v>
      </c>
    </row>
    <row r="35" customFormat="false" ht="15" hidden="false" customHeight="false" outlineLevel="0" collapsed="false">
      <c r="A35" s="17" t="n">
        <v>46173</v>
      </c>
      <c r="B35" s="12" t="s">
        <v>23</v>
      </c>
      <c r="C35" s="11" t="n">
        <v>84</v>
      </c>
      <c r="D35" s="12" t="n">
        <f aca="false">COUNTIFS(Animals!$B:$B,B35,Animals!$H:$H,"&lt;="&amp;A35,Animals!$K:$K,"&gt;"&amp;A35)+COUNTIFS(Animals!$B:$B,B35,Animals!$H:$H,"&lt;="&amp;A35,Animals!$K:$K,"")</f>
        <v>84</v>
      </c>
      <c r="E35" s="12" t="n">
        <f aca="false">D35-C35</f>
        <v>0</v>
      </c>
    </row>
    <row r="36" customFormat="false" ht="15" hidden="false" customHeight="false" outlineLevel="0" collapsed="false">
      <c r="A36" s="17" t="n">
        <v>46203</v>
      </c>
      <c r="B36" s="12" t="s">
        <v>23</v>
      </c>
      <c r="C36" s="11" t="n">
        <v>100</v>
      </c>
      <c r="D36" s="12" t="n">
        <f aca="false">COUNTIFS(Animals!$B:$B,B36,Animals!$H:$H,"&lt;="&amp;A36,Animals!$K:$K,"&gt;"&amp;A36)+COUNTIFS(Animals!$B:$B,B36,Animals!$H:$H,"&lt;="&amp;A36,Animals!$K:$K,"")</f>
        <v>100</v>
      </c>
      <c r="E36" s="12" t="n">
        <f aca="false">D36-C36</f>
        <v>0</v>
      </c>
    </row>
    <row r="37" customFormat="false" ht="15" hidden="false" customHeight="false" outlineLevel="0" collapsed="false">
      <c r="A37" s="17" t="n">
        <v>46234</v>
      </c>
      <c r="B37" s="12" t="s">
        <v>23</v>
      </c>
      <c r="C37" s="11" t="n">
        <v>101</v>
      </c>
      <c r="D37" s="12" t="n">
        <f aca="false">COUNTIFS(Animals!$B:$B,B37,Animals!$H:$H,"&lt;="&amp;A37,Animals!$K:$K,"&gt;"&amp;A37)+COUNTIFS(Animals!$B:$B,B37,Animals!$H:$H,"&lt;="&amp;A37,Animals!$K:$K,"")</f>
        <v>101</v>
      </c>
      <c r="E37" s="12" t="n">
        <f aca="false">D37-C37</f>
        <v>0</v>
      </c>
    </row>
    <row r="38" customFormat="false" ht="15" hidden="false" customHeight="false" outlineLevel="0" collapsed="false">
      <c r="A38" s="17" t="n">
        <v>46265</v>
      </c>
      <c r="B38" s="12" t="s">
        <v>23</v>
      </c>
      <c r="C38" s="11" t="n">
        <v>91</v>
      </c>
      <c r="D38" s="12" t="n">
        <f aca="false">COUNTIFS(Animals!$B:$B,B38,Animals!$H:$H,"&lt;="&amp;A38,Animals!$K:$K,"&gt;"&amp;A38)+COUNTIFS(Animals!$B:$B,B38,Animals!$H:$H,"&lt;="&amp;A38,Animals!$K:$K,"")</f>
        <v>91</v>
      </c>
      <c r="E38" s="12" t="n">
        <f aca="false">D38-C38</f>
        <v>0</v>
      </c>
    </row>
    <row r="39" customFormat="false" ht="15" hidden="false" customHeight="false" outlineLevel="0" collapsed="false">
      <c r="A39" s="17" t="n">
        <v>46283</v>
      </c>
      <c r="B39" s="12" t="s">
        <v>23</v>
      </c>
      <c r="C39" s="11" t="n">
        <v>91</v>
      </c>
      <c r="D39" s="12" t="n">
        <f aca="false">COUNTIFS(Animals!$B:$B,B39,Animals!$H:$H,"&lt;="&amp;A39,Animals!$K:$K,"&gt;"&amp;A39)+COUNTIFS(Animals!$B:$B,B39,Animals!$H:$H,"&lt;="&amp;A39,Animals!$K:$K,"")</f>
        <v>91</v>
      </c>
      <c r="E39" s="12" t="n">
        <f aca="false">D39-C39</f>
        <v>0</v>
      </c>
    </row>
    <row r="40" customFormat="false" ht="15" hidden="false" customHeight="false" outlineLevel="0" collapsed="false">
      <c r="A40" s="17" t="n">
        <v>45808</v>
      </c>
      <c r="B40" s="12" t="s">
        <v>24</v>
      </c>
      <c r="C40" s="11" t="n">
        <v>141</v>
      </c>
      <c r="D40" s="12" t="n">
        <f aca="false">COUNTIFS(Animals!$B:$B,B40,Animals!$H:$H,"&lt;="&amp;A40,Animals!$K:$K,"&gt;"&amp;A40)+COUNTIFS(Animals!$B:$B,B40,Animals!$H:$H,"&lt;="&amp;A40,Animals!$K:$K,"")</f>
        <v>141</v>
      </c>
      <c r="E40" s="12" t="n">
        <f aca="false">D40-C40</f>
        <v>0</v>
      </c>
    </row>
    <row r="41" customFormat="false" ht="15" hidden="false" customHeight="false" outlineLevel="0" collapsed="false">
      <c r="A41" s="17" t="n">
        <v>45838</v>
      </c>
      <c r="B41" s="12" t="s">
        <v>24</v>
      </c>
      <c r="C41" s="11" t="n">
        <v>139</v>
      </c>
      <c r="D41" s="12" t="n">
        <f aca="false">COUNTIFS(Animals!$B:$B,B41,Animals!$H:$H,"&lt;="&amp;A41,Animals!$K:$K,"&gt;"&amp;A41)+COUNTIFS(Animals!$B:$B,B41,Animals!$H:$H,"&lt;="&amp;A41,Animals!$K:$K,"")</f>
        <v>139</v>
      </c>
      <c r="E41" s="12" t="n">
        <f aca="false">D41-C41</f>
        <v>0</v>
      </c>
    </row>
    <row r="42" customFormat="false" ht="15" hidden="false" customHeight="false" outlineLevel="0" collapsed="false">
      <c r="A42" s="17" t="n">
        <v>45869</v>
      </c>
      <c r="B42" s="12" t="s">
        <v>24</v>
      </c>
      <c r="C42" s="11" t="n">
        <v>150</v>
      </c>
      <c r="D42" s="12" t="n">
        <f aca="false">COUNTIFS(Animals!$B:$B,B42,Animals!$H:$H,"&lt;="&amp;A42,Animals!$K:$K,"&gt;"&amp;A42)+COUNTIFS(Animals!$B:$B,B42,Animals!$H:$H,"&lt;="&amp;A42,Animals!$K:$K,"")</f>
        <v>150</v>
      </c>
      <c r="E42" s="12" t="n">
        <f aca="false">D42-C42</f>
        <v>0</v>
      </c>
    </row>
    <row r="43" customFormat="false" ht="15" hidden="false" customHeight="false" outlineLevel="0" collapsed="false">
      <c r="A43" s="17" t="n">
        <v>45900</v>
      </c>
      <c r="B43" s="12" t="s">
        <v>24</v>
      </c>
      <c r="C43" s="11" t="n">
        <v>150</v>
      </c>
      <c r="D43" s="12" t="n">
        <f aca="false">COUNTIFS(Animals!$B:$B,B43,Animals!$H:$H,"&lt;="&amp;A43,Animals!$K:$K,"&gt;"&amp;A43)+COUNTIFS(Animals!$B:$B,B43,Animals!$H:$H,"&lt;="&amp;A43,Animals!$K:$K,"")</f>
        <v>150</v>
      </c>
      <c r="E43" s="12" t="n">
        <f aca="false">D43-C43</f>
        <v>0</v>
      </c>
    </row>
    <row r="44" customFormat="false" ht="15" hidden="false" customHeight="false" outlineLevel="0" collapsed="false">
      <c r="A44" s="17" t="n">
        <v>45930</v>
      </c>
      <c r="B44" s="12" t="s">
        <v>24</v>
      </c>
      <c r="C44" s="11" t="n">
        <v>144</v>
      </c>
      <c r="D44" s="12" t="n">
        <f aca="false">COUNTIFS(Animals!$B:$B,B44,Animals!$H:$H,"&lt;="&amp;A44,Animals!$K:$K,"&gt;"&amp;A44)+COUNTIFS(Animals!$B:$B,B44,Animals!$H:$H,"&lt;="&amp;A44,Animals!$K:$K,"")</f>
        <v>144</v>
      </c>
      <c r="E44" s="12" t="n">
        <f aca="false">D44-C44</f>
        <v>0</v>
      </c>
    </row>
    <row r="45" customFormat="false" ht="15" hidden="false" customHeight="false" outlineLevel="0" collapsed="false">
      <c r="A45" s="17" t="n">
        <v>45961</v>
      </c>
      <c r="B45" s="12" t="s">
        <v>24</v>
      </c>
      <c r="C45" s="11" t="n">
        <v>135</v>
      </c>
      <c r="D45" s="12" t="n">
        <f aca="false">COUNTIFS(Animals!$B:$B,B45,Animals!$H:$H,"&lt;="&amp;A45,Animals!$K:$K,"&gt;"&amp;A45)+COUNTIFS(Animals!$B:$B,B45,Animals!$H:$H,"&lt;="&amp;A45,Animals!$K:$K,"")</f>
        <v>135</v>
      </c>
      <c r="E45" s="12" t="n">
        <f aca="false">D45-C45</f>
        <v>0</v>
      </c>
    </row>
    <row r="46" customFormat="false" ht="15" hidden="false" customHeight="false" outlineLevel="0" collapsed="false">
      <c r="A46" s="17" t="n">
        <v>45991</v>
      </c>
      <c r="B46" s="12" t="s">
        <v>24</v>
      </c>
      <c r="C46" s="11" t="n">
        <v>135</v>
      </c>
      <c r="D46" s="12" t="n">
        <f aca="false">COUNTIFS(Animals!$B:$B,B46,Animals!$H:$H,"&lt;="&amp;A46,Animals!$K:$K,"&gt;"&amp;A46)+COUNTIFS(Animals!$B:$B,B46,Animals!$H:$H,"&lt;="&amp;A46,Animals!$K:$K,"")</f>
        <v>135</v>
      </c>
      <c r="E46" s="12" t="n">
        <f aca="false">D46-C46</f>
        <v>0</v>
      </c>
    </row>
    <row r="47" customFormat="false" ht="15" hidden="false" customHeight="false" outlineLevel="0" collapsed="false">
      <c r="A47" s="17" t="n">
        <v>46022</v>
      </c>
      <c r="B47" s="12" t="s">
        <v>24</v>
      </c>
      <c r="C47" s="11" t="n">
        <v>116</v>
      </c>
      <c r="D47" s="12" t="n">
        <f aca="false">COUNTIFS(Animals!$B:$B,B47,Animals!$H:$H,"&lt;="&amp;A47,Animals!$K:$K,"&gt;"&amp;A47)+COUNTIFS(Animals!$B:$B,B47,Animals!$H:$H,"&lt;="&amp;A47,Animals!$K:$K,"")</f>
        <v>116</v>
      </c>
      <c r="E47" s="12" t="n">
        <f aca="false">D47-C47</f>
        <v>0</v>
      </c>
    </row>
    <row r="48" customFormat="false" ht="15" hidden="false" customHeight="false" outlineLevel="0" collapsed="false">
      <c r="A48" s="17" t="n">
        <v>46053</v>
      </c>
      <c r="B48" s="12" t="s">
        <v>24</v>
      </c>
      <c r="C48" s="11" t="n">
        <v>113</v>
      </c>
      <c r="D48" s="12" t="n">
        <f aca="false">COUNTIFS(Animals!$B:$B,B48,Animals!$H:$H,"&lt;="&amp;A48,Animals!$K:$K,"&gt;"&amp;A48)+COUNTIFS(Animals!$B:$B,B48,Animals!$H:$H,"&lt;="&amp;A48,Animals!$K:$K,"")</f>
        <v>113</v>
      </c>
      <c r="E48" s="12" t="n">
        <f aca="false">D48-C48</f>
        <v>0</v>
      </c>
    </row>
    <row r="49" customFormat="false" ht="15" hidden="false" customHeight="false" outlineLevel="0" collapsed="false">
      <c r="A49" s="17" t="n">
        <v>46081</v>
      </c>
      <c r="B49" s="12" t="s">
        <v>24</v>
      </c>
      <c r="C49" s="11" t="n">
        <v>115</v>
      </c>
      <c r="D49" s="12" t="n">
        <f aca="false">COUNTIFS(Animals!$B:$B,B49,Animals!$H:$H,"&lt;="&amp;A49,Animals!$K:$K,"&gt;"&amp;A49)+COUNTIFS(Animals!$B:$B,B49,Animals!$H:$H,"&lt;="&amp;A49,Animals!$K:$K,"")</f>
        <v>115</v>
      </c>
      <c r="E49" s="12" t="n">
        <f aca="false">D49-C49</f>
        <v>0</v>
      </c>
    </row>
    <row r="50" customFormat="false" ht="15" hidden="false" customHeight="false" outlineLevel="0" collapsed="false">
      <c r="A50" s="17" t="n">
        <v>46112</v>
      </c>
      <c r="B50" s="12" t="s">
        <v>24</v>
      </c>
      <c r="C50" s="11" t="n">
        <v>121</v>
      </c>
      <c r="D50" s="12" t="n">
        <f aca="false">COUNTIFS(Animals!$B:$B,B50,Animals!$H:$H,"&lt;="&amp;A50,Animals!$K:$K,"&gt;"&amp;A50)+COUNTIFS(Animals!$B:$B,B50,Animals!$H:$H,"&lt;="&amp;A50,Animals!$K:$K,"")</f>
        <v>121</v>
      </c>
      <c r="E50" s="12" t="n">
        <f aca="false">D50-C50</f>
        <v>0</v>
      </c>
    </row>
    <row r="51" customFormat="false" ht="15" hidden="false" customHeight="false" outlineLevel="0" collapsed="false">
      <c r="A51" s="17" t="n">
        <v>46142</v>
      </c>
      <c r="B51" s="12" t="s">
        <v>24</v>
      </c>
      <c r="C51" s="11" t="n">
        <v>140</v>
      </c>
      <c r="D51" s="12" t="n">
        <f aca="false">COUNTIFS(Animals!$B:$B,B51,Animals!$H:$H,"&lt;="&amp;A51,Animals!$K:$K,"&gt;"&amp;A51)+COUNTIFS(Animals!$B:$B,B51,Animals!$H:$H,"&lt;="&amp;A51,Animals!$K:$K,"")</f>
        <v>140</v>
      </c>
      <c r="E51" s="12" t="n">
        <f aca="false">D51-C51</f>
        <v>0</v>
      </c>
    </row>
    <row r="52" customFormat="false" ht="15" hidden="false" customHeight="false" outlineLevel="0" collapsed="false">
      <c r="A52" s="17" t="n">
        <v>46173</v>
      </c>
      <c r="B52" s="12" t="s">
        <v>24</v>
      </c>
      <c r="C52" s="11" t="n">
        <v>138</v>
      </c>
      <c r="D52" s="12" t="n">
        <f aca="false">COUNTIFS(Animals!$B:$B,B52,Animals!$H:$H,"&lt;="&amp;A52,Animals!$K:$K,"&gt;"&amp;A52)+COUNTIFS(Animals!$B:$B,B52,Animals!$H:$H,"&lt;="&amp;A52,Animals!$K:$K,"")</f>
        <v>138</v>
      </c>
      <c r="E52" s="12" t="n">
        <f aca="false">D52-C52</f>
        <v>0</v>
      </c>
    </row>
    <row r="53" customFormat="false" ht="15" hidden="false" customHeight="false" outlineLevel="0" collapsed="false">
      <c r="A53" s="17" t="n">
        <v>46203</v>
      </c>
      <c r="B53" s="12" t="s">
        <v>24</v>
      </c>
      <c r="C53" s="11" t="n">
        <v>143</v>
      </c>
      <c r="D53" s="12" t="n">
        <f aca="false">COUNTIFS(Animals!$B:$B,B53,Animals!$H:$H,"&lt;="&amp;A53,Animals!$K:$K,"&gt;"&amp;A53)+COUNTIFS(Animals!$B:$B,B53,Animals!$H:$H,"&lt;="&amp;A53,Animals!$K:$K,"")</f>
        <v>143</v>
      </c>
      <c r="E53" s="12" t="n">
        <f aca="false">D53-C53</f>
        <v>0</v>
      </c>
    </row>
    <row r="54" customFormat="false" ht="15" hidden="false" customHeight="false" outlineLevel="0" collapsed="false">
      <c r="A54" s="17" t="n">
        <v>46234</v>
      </c>
      <c r="B54" s="12" t="s">
        <v>24</v>
      </c>
      <c r="C54" s="11" t="n">
        <v>145</v>
      </c>
      <c r="D54" s="12" t="n">
        <f aca="false">COUNTIFS(Animals!$B:$B,B54,Animals!$H:$H,"&lt;="&amp;A54,Animals!$K:$K,"&gt;"&amp;A54)+COUNTIFS(Animals!$B:$B,B54,Animals!$H:$H,"&lt;="&amp;A54,Animals!$K:$K,"")</f>
        <v>145</v>
      </c>
      <c r="E54" s="12" t="n">
        <f aca="false">D54-C54</f>
        <v>0</v>
      </c>
    </row>
    <row r="55" customFormat="false" ht="15" hidden="false" customHeight="false" outlineLevel="0" collapsed="false">
      <c r="A55" s="17" t="n">
        <v>46265</v>
      </c>
      <c r="B55" s="12" t="s">
        <v>24</v>
      </c>
      <c r="C55" s="11" t="n">
        <v>144</v>
      </c>
      <c r="D55" s="12" t="n">
        <f aca="false">COUNTIFS(Animals!$B:$B,B55,Animals!$H:$H,"&lt;="&amp;A55,Animals!$K:$K,"&gt;"&amp;A55)+COUNTIFS(Animals!$B:$B,B55,Animals!$H:$H,"&lt;="&amp;A55,Animals!$K:$K,"")</f>
        <v>144</v>
      </c>
      <c r="E55" s="12" t="n">
        <f aca="false">D55-C55</f>
        <v>0</v>
      </c>
    </row>
    <row r="56" customFormat="false" ht="15" hidden="false" customHeight="false" outlineLevel="0" collapsed="false">
      <c r="A56" s="17" t="n">
        <v>46283</v>
      </c>
      <c r="B56" s="12" t="s">
        <v>24</v>
      </c>
      <c r="C56" s="11" t="n">
        <v>143</v>
      </c>
      <c r="D56" s="12" t="n">
        <f aca="false">COUNTIFS(Animals!$B:$B,B56,Animals!$H:$H,"&lt;="&amp;A56,Animals!$K:$K,"&gt;"&amp;A56)+COUNTIFS(Animals!$B:$B,B56,Animals!$H:$H,"&lt;="&amp;A56,Animals!$K:$K,"")</f>
        <v>143</v>
      </c>
      <c r="E56" s="12" t="n">
        <f aca="false">D56-C56</f>
        <v>0</v>
      </c>
    </row>
    <row r="58" customFormat="false" ht="15" hidden="false" customHeight="false" outlineLevel="0" collapsed="false">
      <c r="A58" s="8" t="s">
        <v>1640</v>
      </c>
    </row>
  </sheetData>
  <autoFilter ref="A1:E5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3" min="3" style="0" width="22"/>
    <col collapsed="false" customWidth="true" hidden="false" outlineLevel="0" max="4" min="4" style="0" width="50"/>
    <col collapsed="false" customWidth="true" hidden="false" outlineLevel="0" max="5" min="5" style="0" width="46"/>
    <col collapsed="false" customWidth="true" hidden="false" outlineLevel="0" max="6" min="6" style="0" width="60"/>
  </cols>
  <sheetData>
    <row r="1" customFormat="false" ht="15" hidden="false" customHeight="false" outlineLevel="0" collapsed="false">
      <c r="A1" s="10" t="s">
        <v>1641</v>
      </c>
      <c r="B1" s="10" t="s">
        <v>1642</v>
      </c>
      <c r="C1" s="10" t="s">
        <v>1643</v>
      </c>
      <c r="D1" s="10" t="s">
        <v>1644</v>
      </c>
      <c r="E1" s="10" t="s">
        <v>1645</v>
      </c>
      <c r="F1" s="10" t="s">
        <v>1646</v>
      </c>
    </row>
    <row r="2" customFormat="false" ht="15" hidden="false" customHeight="false" outlineLevel="0" collapsed="false">
      <c r="A2" s="11" t="s">
        <v>1647</v>
      </c>
      <c r="B2" s="11" t="s">
        <v>1648</v>
      </c>
      <c r="C2" s="11" t="s">
        <v>1649</v>
      </c>
      <c r="D2" s="11" t="s">
        <v>1650</v>
      </c>
      <c r="E2" s="11" t="s">
        <v>1651</v>
      </c>
      <c r="F2" s="11" t="s">
        <v>1652</v>
      </c>
    </row>
    <row r="3" customFormat="false" ht="15" hidden="false" customHeight="false" outlineLevel="0" collapsed="false">
      <c r="A3" s="11" t="s">
        <v>1653</v>
      </c>
      <c r="B3" s="11" t="s">
        <v>1654</v>
      </c>
      <c r="C3" s="11" t="s">
        <v>1655</v>
      </c>
      <c r="D3" s="11" t="s">
        <v>1656</v>
      </c>
      <c r="E3" s="11" t="s">
        <v>1657</v>
      </c>
      <c r="F3" s="11" t="s">
        <v>1658</v>
      </c>
    </row>
    <row r="4" customFormat="false" ht="15" hidden="false" customHeight="false" outlineLevel="0" collapsed="false">
      <c r="A4" s="11" t="s">
        <v>1659</v>
      </c>
      <c r="B4" s="11" t="s">
        <v>1648</v>
      </c>
      <c r="C4" s="11" t="s">
        <v>1660</v>
      </c>
      <c r="D4" s="11" t="s">
        <v>1661</v>
      </c>
      <c r="E4" s="11" t="s">
        <v>1662</v>
      </c>
      <c r="F4" s="11" t="s">
        <v>1663</v>
      </c>
    </row>
    <row r="5" customFormat="false" ht="15" hidden="false" customHeight="false" outlineLevel="0" collapsed="false">
      <c r="A5" s="11" t="s">
        <v>1664</v>
      </c>
      <c r="B5" s="11" t="s">
        <v>1654</v>
      </c>
      <c r="C5" s="11" t="s">
        <v>1665</v>
      </c>
      <c r="D5" s="11" t="s">
        <v>1666</v>
      </c>
      <c r="E5" s="11" t="s">
        <v>1667</v>
      </c>
      <c r="F5" s="11" t="s">
        <v>1668</v>
      </c>
    </row>
    <row r="6" customFormat="false" ht="15" hidden="false" customHeight="false" outlineLevel="0" collapsed="false">
      <c r="A6" s="11" t="s">
        <v>1669</v>
      </c>
      <c r="B6" s="11" t="s">
        <v>1654</v>
      </c>
      <c r="C6" s="11" t="s">
        <v>1670</v>
      </c>
      <c r="D6" s="11" t="s">
        <v>1671</v>
      </c>
      <c r="E6" s="11" t="s">
        <v>1672</v>
      </c>
      <c r="F6" s="11" t="s">
        <v>1673</v>
      </c>
    </row>
    <row r="7" customFormat="false" ht="15" hidden="false" customHeight="false" outlineLevel="0" collapsed="false">
      <c r="A7" s="11" t="s">
        <v>1674</v>
      </c>
      <c r="B7" s="11" t="s">
        <v>1648</v>
      </c>
      <c r="C7" s="11" t="s">
        <v>1675</v>
      </c>
      <c r="D7" s="11" t="s">
        <v>1676</v>
      </c>
      <c r="E7" s="11" t="s">
        <v>1677</v>
      </c>
      <c r="F7" s="11" t="s">
        <v>1678</v>
      </c>
    </row>
    <row r="8" customFormat="false" ht="15" hidden="false" customHeight="false" outlineLevel="0" collapsed="false">
      <c r="A8" s="11" t="s">
        <v>1679</v>
      </c>
      <c r="B8" s="11" t="s">
        <v>1648</v>
      </c>
      <c r="C8" s="11" t="s">
        <v>1680</v>
      </c>
      <c r="D8" s="11" t="s">
        <v>1681</v>
      </c>
      <c r="E8" s="11" t="s">
        <v>1682</v>
      </c>
      <c r="F8" s="11" t="s">
        <v>1683</v>
      </c>
    </row>
    <row r="9" customFormat="false" ht="15" hidden="false" customHeight="false" outlineLevel="0" collapsed="false">
      <c r="A9" s="11" t="s">
        <v>1684</v>
      </c>
      <c r="B9" s="11" t="s">
        <v>1648</v>
      </c>
      <c r="C9" s="11" t="s">
        <v>1685</v>
      </c>
      <c r="D9" s="11" t="s">
        <v>1686</v>
      </c>
      <c r="E9" s="11" t="s">
        <v>1687</v>
      </c>
      <c r="F9" s="11" t="s">
        <v>1688</v>
      </c>
    </row>
    <row r="10" customFormat="false" ht="15" hidden="false" customHeight="false" outlineLevel="0" collapsed="false">
      <c r="A10" s="11" t="s">
        <v>1689</v>
      </c>
      <c r="B10" s="11" t="s">
        <v>1654</v>
      </c>
      <c r="C10" s="11" t="s">
        <v>1690</v>
      </c>
      <c r="D10" s="11" t="s">
        <v>1691</v>
      </c>
      <c r="E10" s="11" t="s">
        <v>1692</v>
      </c>
      <c r="F10" s="11" t="s">
        <v>1693</v>
      </c>
    </row>
    <row r="11" customFormat="false" ht="15" hidden="false" customHeight="false" outlineLevel="0" collapsed="false">
      <c r="A11" s="11" t="s">
        <v>1694</v>
      </c>
      <c r="B11" s="11" t="s">
        <v>1654</v>
      </c>
      <c r="C11" s="11" t="s">
        <v>1695</v>
      </c>
      <c r="D11" s="11" t="s">
        <v>1696</v>
      </c>
      <c r="E11" s="11" t="s">
        <v>1697</v>
      </c>
      <c r="F11" s="11" t="s">
        <v>1698</v>
      </c>
    </row>
    <row r="13" customFormat="false" ht="15" hidden="false" customHeight="false" outlineLevel="0" collapsed="false">
      <c r="A13" s="8" t="s">
        <v>1699</v>
      </c>
    </row>
  </sheetData>
  <autoFilter ref="A1:F1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00"/>
    <col collapsed="false" customWidth="true" hidden="false" outlineLevel="0" max="4" min="4" style="0" width="70"/>
  </cols>
  <sheetData>
    <row r="1" customFormat="false" ht="15" hidden="false" customHeight="false" outlineLevel="0" collapsed="false">
      <c r="A1" s="10" t="s">
        <v>642</v>
      </c>
      <c r="B1" s="10" t="s">
        <v>18</v>
      </c>
      <c r="C1" s="10" t="s">
        <v>1700</v>
      </c>
      <c r="D1" s="10" t="s">
        <v>646</v>
      </c>
    </row>
    <row r="2" customFormat="false" ht="23.85" hidden="false" customHeight="false" outlineLevel="0" collapsed="false">
      <c r="A2" s="12"/>
      <c r="B2" s="12" t="s">
        <v>1701</v>
      </c>
      <c r="C2" s="23" t="s">
        <v>1702</v>
      </c>
      <c r="D2" s="12" t="s">
        <v>1703</v>
      </c>
    </row>
    <row r="3" customFormat="false" ht="23.85" hidden="false" customHeight="false" outlineLevel="0" collapsed="false">
      <c r="A3" s="17" t="n">
        <v>46169</v>
      </c>
      <c r="B3" s="12" t="s">
        <v>24</v>
      </c>
      <c r="C3" s="23" t="s">
        <v>1704</v>
      </c>
      <c r="D3" s="12" t="s">
        <v>1703</v>
      </c>
    </row>
    <row r="4" customFormat="false" ht="23.85" hidden="false" customHeight="false" outlineLevel="0" collapsed="false">
      <c r="A4" s="17" t="n">
        <v>46158</v>
      </c>
      <c r="B4" s="12" t="s">
        <v>22</v>
      </c>
      <c r="C4" s="23" t="s">
        <v>1705</v>
      </c>
      <c r="D4" s="12" t="s">
        <v>1703</v>
      </c>
    </row>
    <row r="5" customFormat="false" ht="23.85" hidden="false" customHeight="false" outlineLevel="0" collapsed="false">
      <c r="A5" s="17" t="n">
        <v>46235</v>
      </c>
      <c r="B5" s="12" t="s">
        <v>1706</v>
      </c>
      <c r="C5" s="23" t="s">
        <v>1707</v>
      </c>
      <c r="D5" s="12" t="s">
        <v>1708</v>
      </c>
    </row>
    <row r="6" customFormat="false" ht="23.85" hidden="false" customHeight="false" outlineLevel="0" collapsed="false">
      <c r="A6" s="17" t="n">
        <v>46239</v>
      </c>
      <c r="B6" s="12" t="s">
        <v>1709</v>
      </c>
      <c r="C6" s="23" t="s">
        <v>1710</v>
      </c>
      <c r="D6" s="12" t="s">
        <v>1711</v>
      </c>
    </row>
    <row r="7" customFormat="false" ht="15" hidden="false" customHeight="false" outlineLevel="0" collapsed="false">
      <c r="A7" s="17" t="n">
        <v>46136</v>
      </c>
      <c r="B7" s="12" t="s">
        <v>23</v>
      </c>
      <c r="C7" s="23" t="s">
        <v>1712</v>
      </c>
      <c r="D7" s="12" t="s">
        <v>1703</v>
      </c>
    </row>
    <row r="8" customFormat="false" ht="23.85" hidden="false" customHeight="false" outlineLevel="0" collapsed="false">
      <c r="A8" s="12"/>
      <c r="B8" s="12" t="s">
        <v>1084</v>
      </c>
      <c r="C8" s="23" t="s">
        <v>1713</v>
      </c>
      <c r="D8" s="12" t="s">
        <v>1090</v>
      </c>
    </row>
    <row r="9" customFormat="false" ht="23.85" hidden="false" customHeight="false" outlineLevel="0" collapsed="false">
      <c r="A9" s="17" t="n">
        <v>46139</v>
      </c>
      <c r="B9" s="12" t="s">
        <v>22</v>
      </c>
      <c r="C9" s="23" t="s">
        <v>1714</v>
      </c>
      <c r="D9" s="12" t="s">
        <v>1703</v>
      </c>
    </row>
    <row r="10" customFormat="false" ht="15" hidden="false" customHeight="false" outlineLevel="0" collapsed="false">
      <c r="A10" s="17" t="n">
        <v>45808</v>
      </c>
      <c r="B10" s="12" t="s">
        <v>22</v>
      </c>
      <c r="C10" s="23" t="s">
        <v>1715</v>
      </c>
      <c r="D10" s="12" t="s">
        <v>1716</v>
      </c>
    </row>
    <row r="11" customFormat="false" ht="15" hidden="false" customHeight="false" outlineLevel="0" collapsed="false">
      <c r="A11" s="17" t="n">
        <v>45808</v>
      </c>
      <c r="B11" s="12" t="s">
        <v>22</v>
      </c>
      <c r="C11" s="23" t="s">
        <v>1717</v>
      </c>
      <c r="D11" s="12" t="s">
        <v>1716</v>
      </c>
    </row>
    <row r="12" customFormat="false" ht="15" hidden="false" customHeight="false" outlineLevel="0" collapsed="false">
      <c r="A12" s="17" t="n">
        <v>45882</v>
      </c>
      <c r="B12" s="12" t="s">
        <v>23</v>
      </c>
      <c r="C12" s="23" t="s">
        <v>1718</v>
      </c>
      <c r="D12" s="12" t="s">
        <v>980</v>
      </c>
    </row>
    <row r="13" customFormat="false" ht="15" hidden="false" customHeight="false" outlineLevel="0" collapsed="false">
      <c r="A13" s="17" t="n">
        <v>45891</v>
      </c>
      <c r="B13" s="12" t="s">
        <v>23</v>
      </c>
      <c r="C13" s="23" t="s">
        <v>1719</v>
      </c>
      <c r="D13" s="12" t="s">
        <v>1720</v>
      </c>
    </row>
    <row r="14" customFormat="false" ht="15" hidden="false" customHeight="false" outlineLevel="0" collapsed="false">
      <c r="A14" s="17" t="n">
        <v>45891</v>
      </c>
      <c r="B14" s="12" t="s">
        <v>23</v>
      </c>
      <c r="C14" s="23" t="s">
        <v>1719</v>
      </c>
      <c r="D14" s="12" t="s">
        <v>1720</v>
      </c>
    </row>
    <row r="15" customFormat="false" ht="15" hidden="false" customHeight="false" outlineLevel="0" collapsed="false">
      <c r="A15" s="17" t="n">
        <v>45900</v>
      </c>
      <c r="B15" s="12" t="s">
        <v>23</v>
      </c>
      <c r="C15" s="23" t="s">
        <v>1721</v>
      </c>
      <c r="D15" s="12" t="s">
        <v>984</v>
      </c>
    </row>
    <row r="16" customFormat="false" ht="15" hidden="false" customHeight="false" outlineLevel="0" collapsed="false">
      <c r="A16" s="17" t="n">
        <v>45905</v>
      </c>
      <c r="B16" s="12" t="s">
        <v>23</v>
      </c>
      <c r="C16" s="23" t="s">
        <v>1722</v>
      </c>
      <c r="D16" s="12" t="s">
        <v>988</v>
      </c>
    </row>
    <row r="17" customFormat="false" ht="15" hidden="false" customHeight="false" outlineLevel="0" collapsed="false">
      <c r="A17" s="17" t="n">
        <v>45973</v>
      </c>
      <c r="B17" s="12" t="s">
        <v>23</v>
      </c>
      <c r="C17" s="23" t="s">
        <v>1722</v>
      </c>
      <c r="D17" s="12" t="s">
        <v>1008</v>
      </c>
    </row>
    <row r="18" customFormat="false" ht="15" hidden="false" customHeight="false" outlineLevel="0" collapsed="false">
      <c r="A18" s="17" t="n">
        <v>45973</v>
      </c>
      <c r="B18" s="12" t="s">
        <v>23</v>
      </c>
      <c r="C18" s="23" t="s">
        <v>1722</v>
      </c>
      <c r="D18" s="12" t="s">
        <v>1008</v>
      </c>
    </row>
    <row r="19" customFormat="false" ht="15" hidden="false" customHeight="false" outlineLevel="0" collapsed="false">
      <c r="A19" s="17" t="n">
        <v>46064</v>
      </c>
      <c r="B19" s="12" t="s">
        <v>23</v>
      </c>
      <c r="C19" s="23" t="s">
        <v>1723</v>
      </c>
      <c r="D19" s="12" t="s">
        <v>1724</v>
      </c>
    </row>
    <row r="20" customFormat="false" ht="15" hidden="false" customHeight="false" outlineLevel="0" collapsed="false">
      <c r="A20" s="17" t="n">
        <v>46064</v>
      </c>
      <c r="B20" s="12" t="s">
        <v>24</v>
      </c>
      <c r="C20" s="23" t="s">
        <v>1725</v>
      </c>
      <c r="D20" s="12" t="s">
        <v>1726</v>
      </c>
    </row>
    <row r="21" customFormat="false" ht="15" hidden="false" customHeight="false" outlineLevel="0" collapsed="false">
      <c r="A21" s="17" t="n">
        <v>46064</v>
      </c>
      <c r="B21" s="12" t="s">
        <v>24</v>
      </c>
      <c r="C21" s="23" t="s">
        <v>1727</v>
      </c>
      <c r="D21" s="12" t="s">
        <v>1726</v>
      </c>
    </row>
    <row r="22" customFormat="false" ht="15" hidden="false" customHeight="false" outlineLevel="0" collapsed="false">
      <c r="A22" s="17" t="n">
        <v>46065</v>
      </c>
      <c r="B22" s="12" t="s">
        <v>23</v>
      </c>
      <c r="C22" s="23" t="s">
        <v>1722</v>
      </c>
      <c r="D22" s="12" t="s">
        <v>1040</v>
      </c>
    </row>
    <row r="23" customFormat="false" ht="15" hidden="false" customHeight="false" outlineLevel="0" collapsed="false">
      <c r="A23" s="17" t="n">
        <v>46066</v>
      </c>
      <c r="B23" s="12" t="s">
        <v>22</v>
      </c>
      <c r="C23" s="23" t="s">
        <v>1728</v>
      </c>
      <c r="D23" s="12" t="s">
        <v>1729</v>
      </c>
    </row>
    <row r="24" customFormat="false" ht="15" hidden="false" customHeight="false" outlineLevel="0" collapsed="false">
      <c r="A24" s="17" t="n">
        <v>46066</v>
      </c>
      <c r="B24" s="12" t="s">
        <v>22</v>
      </c>
      <c r="C24" s="23" t="s">
        <v>1728</v>
      </c>
      <c r="D24" s="12" t="s">
        <v>1729</v>
      </c>
    </row>
    <row r="25" customFormat="false" ht="15" hidden="false" customHeight="false" outlineLevel="0" collapsed="false">
      <c r="A25" s="17" t="n">
        <v>46168</v>
      </c>
      <c r="B25" s="12" t="s">
        <v>22</v>
      </c>
      <c r="C25" s="23" t="s">
        <v>1728</v>
      </c>
      <c r="D25" s="12" t="s">
        <v>1063</v>
      </c>
    </row>
    <row r="26" customFormat="false" ht="15" hidden="false" customHeight="false" outlineLevel="0" collapsed="false">
      <c r="A26" s="17" t="n">
        <v>46168</v>
      </c>
      <c r="B26" s="12" t="s">
        <v>22</v>
      </c>
      <c r="C26" s="23" t="s">
        <v>1730</v>
      </c>
      <c r="D26" s="12" t="s">
        <v>1063</v>
      </c>
    </row>
    <row r="27" customFormat="false" ht="15" hidden="false" customHeight="false" outlineLevel="0" collapsed="false">
      <c r="A27" s="17" t="n">
        <v>46261</v>
      </c>
      <c r="B27" s="12" t="s">
        <v>24</v>
      </c>
      <c r="C27" s="23" t="s">
        <v>1721</v>
      </c>
      <c r="D27" s="12" t="s">
        <v>1078</v>
      </c>
    </row>
  </sheetData>
  <autoFilter ref="A1:D2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2026-11-01T17:48:02Z</dcterms:created>
  <dc:creator>openpyxl</dc:creator>
  <dc:description/>
  <dc:language>en-US</dc:language>
  <cp:lastModifiedBy/>
  <dcterms:modified xsi:type="dcterms:W3CDTF">2026-11-01T17:48:11Z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